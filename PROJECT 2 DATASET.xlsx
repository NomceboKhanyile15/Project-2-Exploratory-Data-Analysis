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y\Downloads\Documents\Internship Decodelabs\Project 2\"/>
    </mc:Choice>
  </mc:AlternateContent>
  <bookViews>
    <workbookView xWindow="240" yWindow="12" windowWidth="16092" windowHeight="9660" firstSheet="3" activeTab="4"/>
  </bookViews>
  <sheets>
    <sheet name="PAYMENT METHOD" sheetId="7" r:id="rId1"/>
    <sheet name="ORDER STATUS" sheetId="8" r:id="rId2"/>
    <sheet name="COUPON CODE" sheetId="9" r:id="rId3"/>
    <sheet name="REFERRAL SOURCE" sheetId="10" r:id="rId4"/>
    <sheet name="TREND ANALYSIS" sheetId="11" r:id="rId5"/>
    <sheet name="MAIN DATASET" sheetId="1" r:id="rId6"/>
    <sheet name="PRODUCT DISTRIBUTION" sheetId="6" r:id="rId7"/>
    <sheet name="EDA" sheetId="2" r:id="rId8"/>
  </sheets>
  <definedNames>
    <definedName name="_xlnm._FilterDatabase" localSheetId="5" hidden="1">'MAIN DATASET'!$N$1:$N$1201</definedName>
  </definedNames>
  <calcPr calcId="152511"/>
  <pivotCaches>
    <pivotCache cacheId="0" r:id="rId9"/>
    <pivotCache cacheId="1" r:id="rId10"/>
    <pivotCache cacheId="2" r:id="rId11"/>
    <pivotCache cacheId="3" r:id="rId12"/>
    <pivotCache cacheId="4" r:id="rId13"/>
    <pivotCache cacheId="5" r:id="rId14"/>
  </pivotCaches>
</workbook>
</file>

<file path=xl/calcChain.xml><?xml version="1.0" encoding="utf-8"?>
<calcChain xmlns="http://schemas.openxmlformats.org/spreadsheetml/2006/main">
  <c r="Q471" i="1" l="1"/>
  <c r="Q544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I4" i="2" l="1"/>
  <c r="I3" i="2"/>
  <c r="I2" i="2"/>
  <c r="H4" i="2"/>
  <c r="H3" i="2"/>
  <c r="H2" i="2"/>
  <c r="G4" i="2"/>
  <c r="G3" i="2"/>
  <c r="G2" i="2"/>
  <c r="F4" i="2"/>
  <c r="F3" i="2"/>
  <c r="F2" i="2"/>
  <c r="A2" i="2"/>
</calcChain>
</file>

<file path=xl/sharedStrings.xml><?xml version="1.0" encoding="utf-8"?>
<sst xmlns="http://schemas.openxmlformats.org/spreadsheetml/2006/main" count="10900" uniqueCount="4302">
  <si>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</si>
  <si>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</si>
  <si>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</si>
  <si>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</si>
  <si>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</si>
  <si>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</si>
  <si>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</si>
  <si>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</si>
  <si>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</si>
  <si>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</si>
  <si>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</si>
  <si>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</si>
  <si>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</si>
  <si>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</si>
  <si>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</si>
  <si>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</si>
  <si>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</si>
  <si>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</si>
  <si>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</si>
  <si>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</si>
  <si>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</si>
  <si>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</si>
  <si>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</si>
  <si>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</si>
  <si>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</si>
  <si>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</si>
  <si>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</si>
  <si>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</si>
  <si>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</si>
  <si>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</si>
  <si>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</si>
  <si>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</si>
  <si>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</si>
  <si>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</si>
  <si>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</si>
  <si>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</si>
  <si>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</si>
  <si>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</si>
  <si>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</si>
  <si>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</si>
  <si>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</si>
  <si>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</si>
  <si>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</si>
  <si>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</si>
  <si>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</si>
  <si>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</si>
  <si>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</si>
  <si>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</si>
  <si>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</si>
  <si>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</si>
  <si>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</si>
  <si>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</si>
  <si>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</si>
  <si>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</si>
  <si>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</si>
  <si>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</si>
  <si>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</si>
  <si>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</si>
  <si>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</si>
  <si>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</si>
  <si>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</si>
  <si>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</si>
  <si>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</si>
  <si>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</si>
  <si>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</si>
  <si>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</si>
  <si>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</si>
  <si>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</si>
  <si>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</si>
  <si>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</si>
  <si>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</si>
  <si>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</si>
  <si>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</si>
  <si>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</si>
  <si>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</si>
  <si>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</si>
  <si>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</si>
  <si>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</si>
  <si>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</si>
  <si>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</si>
  <si>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</si>
  <si>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</si>
  <si>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</si>
  <si>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</si>
  <si>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</si>
  <si>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</si>
  <si>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</si>
  <si>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</si>
  <si>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</si>
  <si>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</si>
  <si>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</si>
  <si>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</si>
  <si>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</si>
  <si>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</si>
  <si>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</si>
  <si>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</si>
  <si>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</si>
  <si>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</si>
  <si>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</si>
  <si>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</si>
  <si>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</si>
  <si>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</si>
  <si>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</si>
  <si>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</si>
  <si>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</si>
  <si>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</si>
  <si>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</si>
  <si>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</si>
  <si>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</si>
  <si>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</si>
  <si>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</si>
  <si>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</si>
  <si>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</si>
  <si>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</si>
  <si>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</si>
  <si>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</si>
  <si>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</si>
  <si>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</si>
  <si>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</si>
  <si>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</si>
  <si>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</si>
  <si>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</si>
  <si>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</si>
  <si>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</si>
  <si>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</si>
  <si>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</si>
  <si>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</si>
  <si>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</si>
  <si>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</si>
  <si>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</si>
  <si>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</si>
  <si>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</si>
  <si>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</si>
  <si>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</si>
  <si>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</si>
  <si>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</si>
  <si>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</si>
  <si>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</si>
  <si>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</si>
  <si>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</si>
  <si>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</si>
  <si>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</si>
  <si>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</si>
  <si>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</si>
  <si>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</si>
  <si>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</si>
  <si>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</si>
  <si>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</si>
  <si>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</si>
  <si>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</si>
  <si>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</si>
  <si>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</si>
  <si>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</si>
  <si>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</si>
  <si>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</si>
  <si>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</si>
  <si>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</si>
  <si>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</si>
  <si>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</si>
  <si>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</si>
  <si>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</si>
  <si>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</si>
  <si>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</si>
  <si>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</si>
  <si>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</si>
  <si>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</si>
  <si>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</si>
  <si>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</si>
  <si>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</si>
  <si>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</si>
  <si>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</si>
  <si>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</si>
  <si>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</si>
  <si>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</si>
  <si>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</si>
  <si>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</si>
  <si>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</si>
  <si>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</si>
  <si>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</si>
  <si>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</si>
  <si>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</si>
  <si>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</si>
  <si>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</si>
  <si>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</si>
  <si>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</si>
  <si>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</si>
  <si>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</si>
  <si>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</si>
  <si>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</si>
  <si>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</si>
  <si>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</si>
  <si>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</si>
  <si>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</si>
  <si>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</si>
  <si>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</si>
  <si>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</si>
  <si>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</si>
  <si>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</si>
  <si>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</si>
  <si>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</si>
  <si>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</si>
  <si>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</si>
  <si>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</si>
  <si>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</si>
  <si>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</si>
  <si>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</si>
  <si>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</si>
  <si>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</si>
  <si>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</si>
  <si>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</si>
  <si>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</si>
  <si>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</si>
  <si>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</si>
  <si>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</si>
  <si>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</si>
  <si>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</si>
  <si>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</si>
  <si>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</si>
  <si>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</si>
  <si>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</si>
  <si>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</si>
  <si>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</si>
  <si>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</si>
  <si>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</si>
  <si>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</si>
  <si>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</si>
  <si>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</si>
  <si>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</si>
  <si>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</si>
  <si>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</si>
  <si>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</si>
  <si>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</si>
  <si>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</si>
  <si>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</si>
  <si>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</si>
  <si>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</si>
  <si>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</si>
  <si>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</si>
  <si>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</si>
  <si>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</si>
  <si>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</si>
  <si>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</si>
  <si>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</si>
  <si>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</si>
  <si>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</si>
  <si>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</si>
  <si>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</si>
  <si>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</si>
  <si>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</si>
  <si>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</si>
  <si>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</si>
  <si>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</si>
  <si>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</si>
  <si>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</si>
  <si>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</si>
  <si>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</si>
  <si>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</si>
  <si>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</si>
  <si>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</si>
  <si>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</si>
  <si>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</si>
  <si>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</si>
  <si>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</si>
  <si>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</si>
  <si>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</si>
  <si>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</si>
  <si>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</si>
  <si>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</si>
  <si>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</si>
  <si>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</si>
  <si>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</si>
  <si>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</si>
  <si>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</si>
  <si>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</si>
  <si>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</si>
  <si>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</si>
  <si>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</si>
  <si>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</si>
  <si>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</si>
  <si>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</si>
  <si>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</si>
  <si>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</si>
  <si>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</si>
  <si>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</si>
  <si>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</si>
  <si>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</si>
  <si>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</si>
  <si>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</si>
  <si>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</si>
  <si>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</si>
  <si>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</si>
  <si>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</si>
  <si>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</si>
  <si>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</si>
  <si>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</si>
  <si>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</si>
  <si>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</si>
  <si>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</si>
  <si>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</si>
  <si>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</si>
  <si>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</si>
  <si>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</si>
  <si>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</si>
  <si>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</si>
  <si>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</si>
  <si>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</si>
  <si>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</si>
  <si>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</si>
  <si>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</si>
  <si>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</si>
  <si>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</si>
  <si>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</si>
  <si>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</si>
  <si>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</si>
  <si>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</si>
  <si>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</si>
  <si>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</si>
  <si>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</si>
  <si>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</si>
  <si>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</si>
  <si>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</si>
  <si>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</si>
  <si>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</si>
  <si>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</si>
  <si>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</si>
  <si>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</si>
  <si>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</si>
  <si>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</si>
  <si>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</si>
  <si>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</si>
  <si>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</si>
  <si>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</si>
  <si>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</si>
  <si>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</si>
  <si>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</si>
  <si>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</si>
  <si>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</si>
  <si>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</si>
  <si>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</si>
  <si>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</si>
  <si>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</si>
  <si>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</si>
  <si>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</si>
  <si>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</si>
  <si>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</si>
  <si>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</si>
  <si>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</si>
  <si>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</si>
  <si>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</si>
  <si>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</si>
  <si>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</si>
  <si>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</si>
  <si>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</si>
  <si>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</si>
  <si>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</si>
  <si>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</si>
  <si>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</si>
  <si>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</si>
  <si>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</si>
  <si>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</si>
  <si>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</si>
  <si>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</si>
  <si>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</si>
  <si>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</si>
  <si>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</si>
  <si>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</si>
  <si>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</si>
  <si>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</si>
  <si>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</si>
  <si>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</si>
  <si>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</si>
  <si>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</si>
  <si>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</si>
  <si>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</si>
  <si>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</si>
  <si>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</si>
  <si>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</si>
  <si>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</si>
  <si>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</si>
  <si>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</si>
  <si>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</si>
  <si>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</si>
  <si>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</si>
  <si>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</si>
  <si>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</si>
  <si>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</si>
  <si>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</si>
  <si>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</si>
  <si>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</si>
  <si>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</si>
  <si>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</si>
  <si>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</si>
  <si>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</si>
  <si>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</si>
  <si>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</si>
  <si>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</si>
  <si>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</si>
  <si>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</si>
  <si>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</si>
  <si>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</si>
  <si>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</si>
  <si>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</si>
  <si>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</si>
  <si>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</si>
  <si>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</si>
  <si>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</si>
  <si>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</si>
  <si>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</si>
  <si>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</si>
  <si>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</si>
  <si>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</si>
  <si>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</si>
  <si>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</si>
  <si>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</si>
  <si>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</si>
  <si>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</si>
  <si>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</si>
  <si>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</si>
  <si>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</si>
  <si>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</si>
  <si>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</si>
  <si>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</si>
  <si>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</si>
  <si>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</si>
  <si>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</si>
  <si>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</si>
  <si>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</si>
  <si>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</si>
  <si>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</si>
  <si>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</si>
  <si>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</si>
  <si>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</si>
  <si>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</si>
  <si>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</si>
  <si>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</si>
  <si>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</si>
  <si>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</si>
  <si>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</si>
  <si>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</si>
  <si>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</si>
  <si>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</si>
  <si>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</si>
  <si>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</si>
  <si>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</si>
  <si>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</si>
  <si>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</si>
  <si>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</si>
  <si>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</si>
  <si>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</si>
  <si>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</si>
  <si>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</si>
  <si>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</si>
  <si>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</si>
  <si>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</si>
  <si>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</si>
  <si>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</si>
  <si>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</si>
  <si>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</si>
  <si>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</si>
  <si>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</si>
  <si>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</si>
  <si>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</si>
  <si>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</si>
  <si>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</si>
  <si>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</si>
  <si>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</si>
  <si>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</si>
  <si>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</si>
  <si>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</si>
  <si>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</si>
  <si>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</si>
  <si>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</si>
  <si>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</si>
  <si>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</si>
  <si>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</si>
  <si>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</si>
  <si>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</si>
  <si>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</si>
  <si>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</si>
  <si>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</si>
  <si>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</si>
  <si>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</si>
  <si>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</si>
  <si>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</si>
  <si>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</si>
  <si>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</si>
  <si>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</si>
  <si>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</si>
  <si>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</si>
  <si>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</si>
  <si>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</si>
  <si>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</si>
  <si>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</si>
  <si>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</si>
  <si>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</si>
  <si>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</si>
  <si>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</si>
  <si>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</si>
  <si>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</si>
  <si>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</si>
  <si>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</si>
  <si>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</si>
  <si>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</si>
  <si>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</si>
  <si>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</si>
  <si>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</si>
  <si>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</si>
  <si>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</si>
  <si>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</si>
  <si>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</si>
  <si>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</si>
  <si>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</si>
  <si>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</si>
  <si>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</si>
  <si>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</si>
  <si>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</si>
  <si>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</si>
  <si>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</si>
  <si>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</si>
  <si>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</si>
  <si>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</si>
  <si>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</si>
  <si>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</si>
  <si>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</si>
  <si>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</si>
  <si>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</si>
  <si>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</si>
  <si>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</si>
  <si>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</si>
  <si>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</si>
  <si>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</si>
  <si>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</si>
  <si>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</si>
  <si>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</si>
  <si>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</si>
  <si>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</si>
  <si>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</si>
  <si>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</si>
  <si>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</si>
  <si>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</si>
  <si>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</si>
  <si>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</si>
  <si>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</si>
  <si>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</si>
  <si>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</si>
  <si>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</si>
  <si>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</si>
  <si>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</si>
  <si>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</si>
  <si>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</si>
  <si>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</si>
  <si>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</si>
  <si>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</si>
  <si>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</si>
  <si>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</si>
  <si>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</si>
  <si>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</si>
  <si>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</si>
  <si>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</si>
  <si>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</si>
  <si>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</si>
  <si>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</si>
  <si>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</si>
  <si>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</si>
  <si>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</si>
  <si>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</si>
  <si>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</si>
  <si>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</si>
  <si>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</si>
  <si>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</si>
  <si>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</si>
  <si>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</si>
  <si>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</si>
  <si>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</si>
  <si>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</si>
  <si>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</si>
  <si>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</si>
  <si>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</si>
  <si>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</si>
  <si>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</si>
  <si>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</si>
  <si>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</si>
  <si>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</si>
  <si>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</si>
  <si>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</si>
  <si>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</si>
  <si>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</si>
  <si>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</si>
  <si>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</si>
  <si>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</si>
  <si>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</si>
  <si>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</si>
  <si>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</si>
  <si>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</si>
  <si>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</si>
  <si>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</si>
  <si>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</si>
  <si>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</si>
  <si>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</si>
  <si>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</si>
  <si>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</si>
  <si>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</si>
  <si>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</si>
  <si>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</si>
  <si>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</si>
  <si>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</si>
  <si>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</si>
  <si>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</si>
  <si>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</si>
  <si>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</si>
  <si>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</si>
  <si>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</si>
  <si>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</si>
  <si>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</si>
  <si>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</si>
  <si>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</si>
  <si>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</si>
  <si>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</si>
  <si>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</si>
  <si>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</si>
  <si>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</si>
  <si>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</si>
  <si>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</si>
  <si>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</si>
  <si>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</si>
  <si>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</si>
  <si>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</si>
  <si>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</si>
  <si>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</si>
  <si>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</si>
  <si>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</si>
  <si>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</si>
  <si>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</si>
  <si>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</si>
  <si>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</si>
  <si>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</si>
  <si>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</si>
  <si>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</si>
  <si>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</si>
  <si>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</si>
  <si>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</si>
  <si>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</si>
  <si>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</si>
  <si>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</si>
  <si>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</si>
  <si>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</si>
  <si>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</si>
  <si>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</si>
  <si>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</si>
  <si>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</si>
  <si>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</si>
  <si>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</si>
  <si>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</si>
  <si>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</si>
  <si>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</si>
  <si>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</si>
  <si>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</si>
  <si>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</si>
  <si>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</si>
  <si>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</si>
  <si>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</si>
  <si>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</si>
  <si>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</si>
  <si>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</si>
  <si>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</si>
  <si>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</si>
  <si>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</si>
  <si>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</si>
  <si>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</si>
  <si>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</si>
  <si>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</si>
  <si>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</si>
  <si>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</si>
  <si>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</si>
  <si>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</si>
  <si>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</si>
  <si>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</si>
  <si>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</si>
  <si>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</si>
  <si>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</si>
  <si>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</si>
  <si>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</si>
  <si>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</si>
  <si>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</si>
  <si>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</si>
  <si>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</si>
  <si>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</si>
  <si>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</si>
  <si>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</si>
  <si>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</si>
  <si>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</si>
  <si>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</si>
  <si>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</si>
  <si>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</si>
  <si>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</si>
  <si>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</si>
  <si>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</si>
  <si>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</si>
  <si>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</si>
  <si>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</si>
  <si>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</si>
  <si>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</si>
  <si>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</si>
  <si>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</si>
  <si>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</si>
  <si>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</si>
  <si>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</si>
  <si>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</si>
  <si>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</si>
  <si>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</si>
  <si>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</si>
  <si>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</si>
  <si>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</si>
  <si>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</si>
  <si>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</si>
  <si>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</si>
  <si>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</si>
  <si>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</si>
  <si>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</si>
  <si>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</si>
  <si>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</si>
  <si>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</si>
  <si>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</si>
  <si>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</si>
  <si>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</si>
  <si>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</si>
  <si>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</si>
  <si>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</si>
  <si>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</si>
  <si>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</si>
  <si>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</si>
  <si>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</si>
  <si>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</si>
  <si>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</si>
  <si>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</si>
  <si>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</si>
  <si>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</si>
  <si>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</si>
  <si>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</si>
  <si>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</si>
  <si>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</si>
  <si>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</si>
  <si>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</si>
  <si>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</si>
  <si>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</si>
  <si>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</si>
  <si>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</si>
  <si>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</si>
  <si>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</si>
  <si>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</si>
  <si>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</si>
  <si>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</si>
  <si>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</si>
  <si>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</si>
  <si>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</si>
  <si>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</si>
  <si>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</si>
  <si>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</si>
  <si>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</si>
  <si>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</si>
  <si>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</si>
  <si>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</si>
  <si>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</si>
  <si>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</si>
  <si>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</si>
  <si>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</si>
  <si>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</si>
  <si>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</si>
  <si>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</si>
  <si>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</si>
  <si>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</si>
  <si>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</si>
  <si>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</si>
  <si>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</si>
  <si>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</si>
  <si>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</si>
  <si>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</si>
  <si>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</si>
  <si>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</si>
  <si>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</si>
  <si>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</si>
  <si>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</si>
  <si>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</si>
  <si>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</si>
  <si>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</si>
  <si>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</si>
  <si>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</si>
  <si>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</si>
  <si>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</si>
  <si>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</si>
  <si>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</si>
  <si>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</si>
  <si>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</si>
  <si>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</si>
  <si>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</si>
  <si>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</si>
  <si>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</si>
  <si>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</si>
  <si>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</si>
  <si>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</si>
  <si>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</si>
  <si>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</si>
  <si>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</si>
  <si>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</si>
  <si>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</si>
  <si>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</si>
  <si>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</si>
  <si>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</si>
  <si>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</si>
  <si>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</si>
  <si>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</si>
  <si>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</si>
  <si>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</si>
  <si>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</si>
  <si>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</si>
  <si>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</si>
  <si>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</si>
  <si>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</si>
  <si>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</si>
  <si>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</si>
  <si>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</si>
  <si>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</si>
  <si>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</si>
  <si>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</si>
  <si>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</si>
  <si>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</si>
  <si>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</si>
  <si>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</si>
  <si>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</si>
  <si>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</si>
  <si>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</si>
  <si>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</si>
  <si>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</si>
  <si>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</si>
  <si>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</si>
  <si>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</si>
  <si>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</si>
  <si>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</si>
  <si>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</si>
  <si>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</si>
  <si>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</si>
  <si>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</si>
  <si>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</si>
  <si>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</si>
  <si>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</si>
  <si>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</si>
  <si>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</si>
  <si>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</si>
  <si>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</si>
  <si>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</si>
  <si>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</si>
  <si>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</si>
  <si>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</si>
  <si>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</si>
  <si>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</si>
  <si>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</si>
  <si>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</si>
  <si>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</si>
  <si>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</si>
  <si>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</si>
  <si>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</si>
  <si>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</si>
  <si>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</si>
  <si>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</si>
  <si>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</si>
  <si>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</si>
  <si>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</si>
  <si>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</si>
  <si>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</si>
  <si>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</si>
  <si>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</si>
  <si>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</si>
  <si>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</si>
  <si>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</si>
  <si>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</si>
  <si>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</si>
  <si>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</si>
  <si>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</si>
  <si>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</si>
  <si>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</si>
  <si>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</si>
  <si>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</si>
  <si>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</si>
  <si>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</si>
  <si>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</si>
  <si>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</si>
  <si>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</si>
  <si>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</si>
  <si>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</si>
  <si>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</si>
  <si>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</si>
  <si>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</si>
  <si>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</si>
  <si>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</si>
  <si>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</si>
  <si>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</si>
  <si>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</si>
  <si>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</si>
  <si>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</si>
  <si>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</si>
  <si>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</si>
  <si>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</si>
  <si>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</si>
  <si>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</si>
  <si>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</si>
  <si>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</si>
  <si>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</si>
  <si>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</si>
  <si>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</si>
  <si>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</si>
  <si>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</si>
  <si>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</si>
  <si>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</si>
  <si>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</si>
  <si>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</si>
  <si>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</si>
  <si>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</si>
  <si>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</si>
  <si>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</si>
  <si>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</si>
  <si>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</si>
  <si>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</si>
  <si>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</si>
  <si>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</si>
  <si>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</si>
  <si>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</si>
  <si>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</si>
  <si>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</si>
  <si>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</si>
  <si>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</si>
  <si>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</si>
  <si>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</si>
  <si>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</si>
  <si>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</si>
  <si>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</si>
  <si>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</si>
  <si>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</si>
  <si>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</si>
  <si>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</si>
  <si>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</si>
  <si>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</si>
  <si>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</si>
  <si>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</si>
  <si>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</si>
  <si>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</si>
  <si>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</si>
  <si>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</si>
  <si>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</si>
  <si>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</si>
  <si>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</si>
  <si>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</si>
  <si>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</si>
  <si>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</si>
  <si>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</si>
  <si>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</si>
  <si>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</si>
  <si>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</si>
  <si>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</si>
  <si>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</si>
  <si>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</si>
  <si>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</si>
  <si>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</si>
  <si>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</si>
  <si>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</si>
  <si>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</si>
  <si>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</si>
  <si>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</si>
  <si>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</si>
  <si>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</si>
  <si>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</si>
  <si>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</si>
  <si>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</si>
  <si>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</si>
  <si>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</si>
  <si>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</si>
  <si>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</si>
  <si>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</si>
  <si>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</si>
  <si>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</si>
  <si>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</si>
  <si>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</si>
  <si>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</si>
  <si>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</si>
  <si>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</si>
  <si>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</si>
  <si>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</si>
  <si>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</si>
  <si>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</si>
  <si>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</si>
  <si>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</si>
  <si>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</si>
  <si>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</si>
  <si>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</si>
  <si>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</si>
  <si>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</si>
  <si>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</si>
  <si>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</si>
  <si>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</si>
  <si>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</si>
  <si>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</si>
  <si>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</si>
  <si>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</si>
  <si>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</si>
  <si>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</si>
  <si>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</si>
  <si>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</si>
  <si>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</si>
  <si>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</si>
  <si>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</si>
  <si>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</si>
  <si>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</si>
  <si>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</si>
  <si>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</si>
  <si>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</si>
  <si>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</si>
  <si>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</si>
  <si>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</si>
  <si>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</si>
  <si>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</si>
  <si>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</si>
  <si>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</si>
  <si>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</si>
  <si>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</si>
  <si>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</si>
  <si>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</si>
  <si>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</si>
  <si>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</si>
  <si>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</si>
  <si>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</si>
  <si>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</si>
  <si>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</si>
  <si>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</si>
  <si>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</si>
  <si>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</si>
  <si>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</si>
  <si>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</si>
  <si>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</si>
  <si>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</si>
  <si>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</si>
  <si>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</si>
  <si>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</si>
  <si>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</si>
  <si>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</si>
  <si>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</si>
  <si>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</si>
  <si>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</si>
  <si>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</si>
  <si>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</si>
  <si>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</si>
  <si>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</si>
  <si>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</si>
  <si>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</si>
  <si>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</si>
  <si>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</si>
  <si>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</si>
  <si>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</si>
  <si>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</si>
  <si>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</si>
  <si>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</si>
  <si>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</si>
  <si>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</si>
  <si>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</si>
  <si>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</si>
  <si>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</si>
  <si>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</si>
  <si>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</si>
  <si>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</si>
  <si>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</si>
  <si>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</si>
  <si>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</si>
  <si>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</si>
  <si>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</si>
  <si>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</si>
  <si>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</si>
  <si>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</si>
  <si>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</si>
  <si>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</si>
  <si>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</si>
  <si>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</si>
  <si>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</si>
  <si>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</si>
  <si>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</si>
  <si>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</si>
  <si>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</si>
  <si>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</si>
  <si>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</si>
  <si>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</si>
  <si>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</si>
  <si>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</si>
  <si>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</si>
  <si>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</si>
  <si>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</si>
  <si>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</si>
  <si>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</si>
  <si>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</si>
  <si>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</si>
  <si>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</si>
  <si>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</si>
  <si>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</si>
  <si>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</si>
  <si>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</si>
  <si>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</si>
  <si>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</si>
  <si>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</si>
  <si>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</si>
  <si>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</si>
  <si>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</si>
  <si>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</si>
  <si>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</si>
  <si>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</si>
  <si>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</si>
  <si>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</si>
  <si>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</si>
  <si>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</si>
  <si>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</si>
  <si>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</si>
  <si>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</si>
  <si>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</si>
  <si>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</si>
  <si>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</si>
  <si>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</si>
  <si>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</si>
  <si>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</si>
  <si>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</si>
  <si>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</si>
  <si>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</si>
  <si>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</si>
  <si>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</si>
  <si>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</si>
  <si>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</si>
  <si>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</si>
  <si>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</si>
  <si>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</si>
  <si>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</si>
  <si>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</si>
  <si>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</si>
  <si>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</si>
  <si>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</si>
  <si>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</si>
  <si>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</si>
  <si>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</si>
  <si>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</si>
  <si>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</si>
  <si>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</si>
  <si>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</si>
  <si>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</si>
  <si>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</si>
  <si>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</si>
  <si>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</si>
  <si>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</si>
  <si>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</si>
  <si>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</si>
  <si>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</si>
  <si>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</si>
  <si>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</si>
  <si>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</si>
  <si>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</si>
  <si>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</si>
  <si>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</si>
  <si>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</si>
  <si>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</si>
  <si>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</si>
  <si>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</si>
  <si>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</si>
  <si>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</si>
  <si>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</si>
  <si>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</si>
  <si>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</si>
  <si>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</si>
  <si>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</si>
  <si>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</si>
  <si>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</si>
  <si>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</si>
  <si>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</si>
  <si>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</si>
  <si>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</si>
  <si>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</si>
  <si>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</si>
  <si>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</si>
  <si>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</si>
  <si>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</si>
  <si>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</si>
  <si>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</si>
  <si>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</si>
  <si>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</si>
  <si>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</si>
  <si>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</si>
  <si>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</si>
  <si>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</si>
  <si>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</si>
  <si>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</si>
  <si>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</si>
  <si>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</si>
  <si>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</si>
  <si>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</si>
  <si>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</si>
  <si>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</si>
  <si>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</si>
  <si>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</si>
  <si>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</si>
  <si>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</si>
  <si>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</si>
  <si>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</si>
  <si>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</si>
  <si>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</si>
  <si>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</si>
  <si>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</si>
  <si>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</si>
  <si>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</si>
  <si>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</si>
  <si>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</si>
  <si>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</si>
  <si>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</si>
  <si>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</si>
  <si>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</si>
  <si>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</si>
  <si>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</si>
  <si>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</si>
  <si>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</si>
  <si>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</si>
  <si>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</si>
  <si>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</si>
  <si>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</si>
  <si>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</si>
  <si>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</si>
  <si>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</si>
  <si>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</si>
  <si>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</si>
  <si>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</si>
  <si>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</si>
  <si>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</si>
  <si>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</si>
  <si>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</si>
  <si>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</si>
  <si>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</si>
  <si>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</si>
  <si>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</si>
  <si>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</si>
  <si>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</si>
  <si>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</si>
  <si>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</si>
  <si>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</si>
  <si>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</si>
  <si>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</si>
  <si>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</si>
  <si>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</si>
  <si>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</si>
  <si>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</si>
  <si>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</si>
  <si>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</si>
  <si>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</si>
  <si>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</si>
  <si>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</si>
  <si>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</si>
  <si>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</si>
  <si>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</si>
  <si>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</si>
  <si>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</si>
  <si>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</si>
  <si>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</si>
  <si>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</si>
  <si>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</si>
  <si>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</si>
  <si>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</si>
  <si>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</si>
  <si>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</si>
  <si>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</si>
  <si>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</si>
  <si>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</si>
  <si>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</si>
  <si>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</si>
  <si>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</si>
  <si>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</si>
  <si>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</si>
  <si>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</si>
  <si>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</si>
  <si>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</si>
  <si>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</si>
  <si>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</si>
  <si>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</si>
  <si>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</si>
  <si>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</si>
  <si>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</si>
  <si>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</si>
  <si>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</si>
  <si>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</si>
  <si>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</si>
  <si>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</si>
  <si>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</si>
  <si>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</si>
  <si>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</si>
  <si>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</si>
  <si>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</si>
  <si>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</si>
  <si>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</si>
  <si>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</si>
  <si>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</si>
  <si>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</si>
  <si>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</si>
  <si>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</si>
  <si>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</si>
  <si>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</si>
  <si>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</si>
  <si>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</si>
  <si>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</si>
  <si>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</si>
  <si>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</si>
  <si>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</si>
  <si>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</si>
  <si>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</si>
  <si>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</si>
  <si>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</si>
  <si>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</si>
  <si>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</si>
  <si>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</si>
  <si>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</si>
  <si>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</si>
  <si>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</si>
  <si>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</si>
  <si>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</si>
  <si>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</si>
  <si>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</si>
  <si>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</si>
  <si>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</si>
  <si>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</si>
  <si>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</si>
  <si>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</si>
  <si>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</si>
  <si>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</si>
  <si>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</si>
  <si>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</si>
  <si>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</si>
  <si>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</si>
  <si>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</si>
  <si>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</si>
  <si>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</si>
  <si>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</si>
  <si>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</si>
  <si>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</si>
  <si>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</si>
  <si>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</si>
  <si>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</si>
  <si>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</si>
  <si>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</si>
  <si>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</si>
  <si>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</si>
  <si>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</si>
  <si>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</si>
  <si>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</si>
  <si>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</si>
  <si>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</si>
  <si>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</si>
  <si>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</si>
  <si>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</si>
  <si>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</si>
  <si>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</si>
  <si>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</si>
  <si>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</si>
  <si>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</si>
  <si>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</si>
  <si>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</si>
  <si>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</si>
  <si>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</si>
  <si>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</si>
  <si>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</si>
  <si>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</si>
  <si>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</si>
  <si>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</si>
  <si>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</si>
  <si>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</si>
  <si>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</si>
  <si>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</si>
  <si>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</si>
  <si>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</si>
  <si>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</si>
  <si>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</si>
  <si>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</si>
  <si>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</si>
  <si>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</si>
  <si>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</si>
  <si>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</si>
  <si>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</si>
  <si>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</si>
  <si>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</si>
  <si>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</si>
  <si>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</si>
  <si>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</si>
  <si>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</si>
  <si>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</si>
  <si>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</si>
  <si>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</si>
  <si>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</si>
  <si>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</si>
  <si>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</si>
  <si>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</si>
  <si>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</si>
  <si>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</si>
  <si>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</si>
  <si>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</si>
  <si>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</si>
  <si>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</si>
  <si>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</si>
  <si>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</si>
  <si>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</si>
  <si>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</si>
  <si>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</si>
  <si>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</si>
  <si>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</si>
  <si>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</si>
  <si>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</si>
  <si>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</si>
  <si>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</si>
  <si>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</si>
  <si>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</si>
  <si>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</si>
  <si>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</si>
  <si>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</si>
  <si>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</si>
  <si>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</si>
  <si>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</si>
  <si>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</si>
  <si>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</si>
  <si>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</si>
  <si>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</si>
  <si>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</si>
  <si>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</si>
  <si>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</si>
  <si>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</si>
  <si>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</si>
  <si>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</si>
  <si>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</si>
  <si>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</si>
  <si>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</si>
  <si>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</si>
  <si>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</si>
  <si>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</si>
  <si>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</si>
  <si>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</si>
  <si>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</si>
  <si>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</si>
  <si>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</si>
  <si>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</si>
  <si>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</si>
  <si>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</si>
  <si>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</si>
  <si>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</si>
  <si>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</si>
  <si>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</si>
  <si>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</si>
  <si>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</si>
  <si>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</si>
  <si>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</si>
  <si>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</si>
  <si>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</si>
  <si>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</si>
  <si>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</si>
  <si>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</si>
  <si>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</si>
  <si>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</si>
  <si>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</si>
  <si>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</si>
  <si>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</si>
  <si>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</si>
  <si>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</si>
  <si>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</si>
  <si>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</si>
  <si>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</si>
  <si>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</si>
  <si>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</si>
  <si>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</si>
  <si>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</si>
  <si>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</si>
  <si>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</si>
  <si>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</si>
  <si>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</si>
  <si>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</si>
  <si>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</si>
  <si>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</si>
  <si>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</si>
  <si>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</si>
  <si>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</si>
  <si>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</si>
  <si>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</si>
  <si>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</si>
  <si>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</si>
  <si>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</si>
  <si>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</si>
  <si>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</si>
  <si>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</si>
  <si>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</si>
  <si>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</si>
  <si>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</si>
  <si>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</si>
  <si>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</si>
  <si>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</si>
  <si>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</si>
  <si>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</si>
  <si>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</si>
  <si>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</si>
  <si>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</si>
  <si>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</si>
  <si>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</si>
  <si>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</si>
  <si>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</si>
  <si>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</si>
  <si>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</si>
  <si>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</si>
  <si>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</si>
  <si>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</si>
  <si>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</si>
  <si>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</si>
  <si>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</si>
  <si>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</si>
  <si>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</si>
  <si>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</si>
  <si>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</si>
  <si>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</si>
  <si>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</si>
  <si>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</si>
  <si>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</si>
  <si>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</si>
  <si>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</si>
  <si>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</si>
  <si>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</si>
  <si>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</si>
  <si>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</si>
  <si>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</si>
  <si>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</si>
  <si>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</si>
  <si>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</si>
  <si>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</si>
  <si>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</si>
  <si>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</si>
  <si>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</si>
  <si>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</si>
  <si>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</si>
  <si>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</si>
  <si>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</si>
  <si>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</si>
  <si>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</si>
  <si>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</si>
  <si>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</si>
  <si>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</si>
  <si>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</si>
  <si>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</si>
  <si>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</si>
  <si>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</si>
  <si>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</si>
  <si>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</si>
  <si>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</si>
  <si>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</si>
  <si>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</si>
  <si>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</si>
  <si>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</si>
  <si>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</si>
  <si>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</si>
  <si>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</si>
  <si>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</si>
  <si>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</si>
  <si>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</si>
  <si>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</si>
  <si>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</si>
  <si>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</si>
  <si>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</si>
  <si>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</si>
  <si>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</si>
  <si>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</si>
  <si>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</si>
  <si>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</si>
  <si>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</si>
  <si>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</si>
  <si>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</si>
  <si>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</si>
  <si>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</si>
  <si>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</si>
  <si>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</si>
  <si>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</si>
  <si>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</si>
  <si>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</si>
  <si>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</si>
  <si>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</si>
  <si>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</si>
  <si>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</si>
  <si>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</si>
  <si>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</si>
  <si>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</si>
  <si>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</si>
  <si>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</si>
  <si>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</si>
  <si>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</si>
  <si>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</si>
  <si>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</si>
  <si>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</si>
  <si>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</si>
  <si>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</si>
  <si>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</si>
  <si>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</si>
  <si>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</si>
  <si>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</si>
  <si>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</si>
  <si>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</si>
  <si>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</si>
  <si>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</si>
  <si>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</si>
  <si>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</si>
  <si>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</si>
  <si>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</si>
  <si>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</si>
  <si>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</si>
  <si>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</si>
  <si>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</si>
  <si>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</si>
  <si>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</si>
  <si>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</si>
  <si>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</si>
  <si>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</si>
  <si>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</si>
  <si>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</si>
  <si>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</si>
  <si>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</si>
  <si>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</si>
  <si>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</si>
  <si>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</si>
  <si>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</si>
  <si>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</si>
  <si>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</si>
  <si>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</si>
  <si>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</si>
  <si>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</si>
  <si>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</si>
  <si>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</si>
  <si>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</si>
  <si>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</si>
  <si>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</si>
  <si>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</si>
  <si>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</si>
  <si>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</si>
  <si>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</si>
  <si>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</si>
  <si>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</si>
  <si>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</si>
  <si>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</si>
  <si>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</si>
  <si>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</si>
  <si>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</si>
  <si>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</si>
  <si>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</si>
  <si>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</si>
  <si>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</si>
  <si>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</si>
  <si>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</si>
  <si>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</si>
  <si>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</si>
  <si>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</si>
  <si>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</si>
  <si>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</si>
  <si>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</si>
  <si>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</si>
  <si>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</si>
  <si>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</si>
  <si>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</si>
  <si>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</si>
  <si>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</si>
  <si>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</si>
  <si>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</si>
  <si>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</si>
  <si>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</si>
  <si>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</si>
  <si>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</si>
  <si>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</si>
  <si>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</si>
  <si>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</si>
  <si>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</si>
  <si>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</si>
  <si>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</si>
  <si>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</si>
  <si>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</si>
  <si>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</si>
  <si>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</si>
  <si>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</si>
  <si>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</si>
  <si>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</si>
  <si>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</si>
  <si>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</si>
  <si>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</si>
  <si>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</si>
  <si>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</si>
  <si>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</si>
  <si>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</si>
  <si>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</si>
  <si>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</si>
  <si>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</si>
  <si>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</si>
  <si>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</si>
  <si>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</si>
  <si>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</si>
  <si>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</si>
  <si>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</si>
  <si>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</si>
  <si>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</si>
  <si>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</si>
  <si>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</si>
  <si>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</si>
  <si>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</si>
  <si>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</si>
  <si>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</si>
  <si>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</si>
  <si>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</si>
  <si>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</si>
  <si>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</si>
  <si>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</si>
  <si>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</si>
  <si>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</si>
  <si>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</si>
  <si>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</si>
  <si>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</si>
  <si>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</si>
  <si>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</si>
  <si>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</si>
  <si>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</si>
  <si>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</si>
  <si>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</si>
  <si>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</si>
  <si>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</si>
  <si>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</si>
  <si>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</si>
  <si>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</si>
  <si>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</si>
  <si>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</si>
  <si>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</si>
  <si>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</si>
  <si>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</si>
  <si>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</si>
  <si>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</si>
  <si>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</si>
  <si>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</si>
  <si>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</si>
  <si>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</si>
  <si>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</si>
  <si>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</si>
  <si>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</si>
  <si>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</si>
  <si>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</si>
  <si>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</si>
  <si>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</si>
  <si>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</si>
  <si>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</si>
  <si>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</si>
  <si>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</si>
  <si>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</si>
  <si>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</si>
  <si>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</si>
  <si>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</si>
  <si>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</si>
  <si>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</si>
  <si>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</si>
  <si>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</si>
  <si>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</si>
  <si>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</si>
  <si>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</si>
  <si>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</si>
  <si>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</si>
  <si>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</si>
  <si>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</si>
  <si>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</si>
  <si>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</si>
  <si>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</si>
  <si>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</si>
  <si>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</si>
  <si>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</si>
  <si>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</si>
  <si>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</si>
  <si>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</si>
  <si>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</si>
  <si>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</si>
  <si>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</si>
  <si>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</si>
  <si>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</si>
  <si>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</si>
  <si>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</si>
  <si>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</si>
  <si>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</si>
  <si>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</si>
  <si>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</si>
  <si>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</si>
  <si>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</si>
  <si>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</si>
  <si>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</si>
  <si>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</si>
  <si>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</si>
  <si>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</si>
  <si>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</si>
  <si>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</si>
  <si>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</si>
  <si>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</si>
  <si>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</si>
  <si>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</si>
  <si>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</si>
  <si>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</si>
  <si>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</si>
  <si>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</si>
  <si>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</si>
  <si>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</si>
  <si>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</si>
  <si>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</si>
  <si>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</si>
  <si>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</si>
  <si>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</si>
  <si>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</si>
  <si>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</si>
  <si>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</si>
  <si>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</si>
  <si>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</si>
  <si>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</si>
  <si>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</si>
  <si>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</si>
  <si>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</si>
  <si>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</si>
  <si>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</si>
  <si>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</si>
  <si>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</si>
  <si>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</si>
  <si>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</si>
  <si>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</si>
  <si>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</si>
  <si>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</si>
  <si>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</si>
  <si>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</si>
  <si>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</si>
  <si>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</si>
  <si>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</si>
  <si>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</si>
  <si>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</si>
  <si>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</si>
  <si>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</si>
  <si>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</si>
  <si>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</si>
  <si>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</si>
  <si>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</si>
  <si>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</si>
  <si>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</si>
  <si>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</si>
  <si>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</si>
  <si>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</si>
  <si>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</si>
  <si>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</si>
  <si>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</si>
  <si>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</si>
  <si>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</si>
  <si>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</si>
  <si>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</si>
  <si>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</si>
  <si>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</si>
  <si>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</si>
  <si>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</si>
  <si>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</si>
  <si>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</si>
  <si>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</si>
  <si>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</si>
  <si>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</si>
  <si>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</si>
  <si>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</si>
  <si>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</si>
  <si>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</si>
  <si>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</si>
  <si>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</si>
  <si>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</si>
  <si>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</si>
  <si>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</si>
  <si>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</si>
  <si>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</si>
  <si>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</si>
  <si>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</si>
  <si>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</si>
  <si>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</si>
  <si>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</si>
  <si>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</si>
  <si>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</si>
  <si>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</si>
  <si>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</si>
  <si>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</si>
  <si>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</si>
  <si>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</si>
  <si>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</si>
  <si>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</si>
  <si>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</si>
  <si>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</si>
  <si>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</si>
  <si>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</si>
  <si>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</si>
  <si>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</si>
  <si>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</si>
  <si>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</si>
  <si>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</si>
  <si>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</si>
  <si>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</si>
  <si>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</si>
  <si>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</si>
  <si>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</si>
  <si>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</si>
  <si>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</si>
  <si>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</si>
  <si>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</si>
  <si>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</si>
  <si>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</si>
  <si>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</si>
  <si>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</si>
  <si>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</si>
  <si>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</si>
  <si>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</si>
  <si>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</si>
  <si>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</si>
  <si>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</si>
  <si>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</si>
  <si>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</si>
  <si>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</si>
  <si>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</si>
  <si>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</si>
  <si>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</si>
  <si>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</si>
  <si>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</si>
  <si>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</si>
  <si>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</si>
  <si>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</si>
  <si>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</si>
  <si>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</si>
  <si>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</si>
  <si>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</si>
  <si>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</si>
  <si>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</si>
  <si>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</si>
  <si>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</si>
  <si>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</si>
  <si>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</si>
  <si>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</si>
  <si>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</si>
  <si>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</si>
  <si>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</si>
  <si>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</si>
  <si>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</si>
  <si>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</si>
  <si>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</si>
  <si>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</si>
  <si>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</si>
  <si>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</si>
  <si>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</si>
  <si>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</si>
  <si>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</si>
  <si>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</si>
  <si>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</si>
  <si>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</si>
  <si>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</si>
  <si>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</si>
  <si>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</si>
  <si>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</si>
  <si>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</si>
  <si>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</si>
  <si>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</si>
  <si>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</si>
  <si>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</si>
  <si>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</si>
  <si>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</si>
  <si>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</si>
  <si>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</si>
  <si>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</si>
  <si>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</si>
  <si>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</si>
  <si>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</si>
  <si>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</si>
  <si>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</si>
  <si>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</si>
  <si>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</si>
  <si>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</si>
  <si>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</si>
  <si>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</si>
  <si>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</si>
  <si>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</si>
  <si>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</si>
  <si>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</si>
  <si>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</si>
  <si>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</si>
  <si>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</si>
  <si>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</si>
  <si>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</si>
  <si>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</si>
  <si>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</si>
  <si>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</si>
  <si>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</si>
  <si>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</si>
  <si>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</si>
  <si>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</si>
  <si>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</si>
  <si>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</si>
  <si>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</si>
  <si>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</si>
  <si>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</si>
  <si>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</si>
  <si>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</si>
  <si>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</si>
  <si>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</si>
  <si>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</si>
  <si>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</si>
  <si>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</si>
  <si>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</si>
  <si>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</si>
  <si>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</si>
  <si>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</si>
  <si>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</si>
  <si>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</si>
  <si>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</si>
  <si>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</si>
  <si>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</si>
  <si>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</si>
  <si>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</si>
  <si>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</si>
  <si>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</si>
  <si>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</si>
  <si>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</si>
  <si>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</si>
  <si>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</si>
  <si>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</si>
  <si>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</si>
  <si>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</si>
  <si>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</si>
  <si>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</si>
  <si>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</si>
  <si>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</si>
  <si>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</si>
  <si>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</si>
  <si>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</si>
  <si>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</si>
  <si>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</si>
  <si>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</si>
  <si>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</si>
  <si>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</si>
  <si>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</si>
  <si>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</si>
  <si>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</si>
  <si>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</si>
  <si>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</si>
  <si>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</si>
  <si>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</si>
  <si>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</si>
  <si>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</si>
  <si>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</si>
  <si>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</si>
  <si>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</si>
  <si>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</si>
  <si>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</si>
  <si>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</si>
  <si>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</si>
  <si>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</si>
  <si>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</si>
  <si>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</si>
  <si>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</si>
  <si>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</si>
  <si>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</si>
  <si>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</si>
  <si>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</si>
  <si>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</si>
  <si>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</si>
  <si>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</si>
  <si>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</si>
  <si>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</si>
  <si>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</si>
  <si>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</si>
  <si>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</si>
  <si>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</si>
  <si>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</si>
  <si>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</si>
  <si>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</si>
  <si>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</si>
  <si>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</si>
  <si>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</si>
  <si>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</si>
  <si>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</si>
  <si>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</si>
  <si>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</si>
  <si>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</si>
  <si>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</si>
  <si>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</si>
  <si>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</si>
  <si>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</si>
  <si>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</si>
  <si>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</si>
  <si>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</si>
  <si>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</si>
  <si>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</si>
  <si>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</si>
  <si>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</si>
  <si>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</si>
  <si>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</si>
  <si>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</si>
  <si>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</si>
  <si>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</si>
  <si>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</si>
  <si>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</si>
  <si>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</si>
  <si>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</si>
  <si>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</si>
  <si>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</si>
  <si>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</si>
  <si>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</si>
  <si>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</si>
  <si>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</si>
  <si>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</si>
  <si>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</si>
  <si>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</si>
  <si>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</si>
  <si>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</si>
  <si>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</si>
  <si>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</si>
  <si>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</si>
  <si>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</si>
  <si>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</si>
  <si>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</si>
  <si>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</si>
  <si>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</si>
  <si>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</si>
  <si>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</si>
  <si>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</si>
  <si>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</si>
  <si>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</si>
  <si>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</si>
  <si>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</si>
  <si>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</si>
  <si>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</si>
  <si>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</si>
  <si>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</si>
  <si>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</si>
  <si>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</si>
  <si>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</si>
  <si>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</si>
  <si>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</si>
  <si>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</si>
  <si>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</si>
  <si>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</si>
  <si>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</si>
  <si>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</si>
  <si>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</si>
  <si>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</si>
  <si>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</si>
  <si>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</si>
  <si>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</si>
  <si>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</si>
  <si>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</si>
  <si>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</si>
  <si>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</si>
  <si>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</si>
  <si>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</si>
  <si>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</si>
  <si>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</si>
  <si>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</si>
  <si>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</si>
  <si>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</si>
  <si>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</si>
  <si>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</si>
  <si>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</si>
  <si>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</si>
  <si>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</si>
  <si>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</si>
  <si>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</si>
  <si>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</si>
  <si>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</si>
  <si>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</si>
  <si>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</si>
  <si>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</si>
  <si>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</si>
  <si>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</si>
  <si>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</si>
  <si>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</si>
  <si>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</si>
  <si>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</si>
  <si>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</si>
  <si>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</si>
  <si>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</si>
  <si>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</si>
  <si>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</si>
  <si>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</si>
  <si>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</si>
  <si>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</si>
  <si>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</si>
  <si>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</si>
  <si>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</si>
  <si>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</si>
  <si>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</si>
  <si>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</si>
  <si>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</si>
  <si>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</si>
  <si>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</si>
  <si>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</si>
  <si>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</si>
  <si>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</si>
  <si>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</si>
  <si>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</si>
  <si>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</si>
  <si>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</si>
  <si>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</si>
  <si>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</si>
  <si>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</si>
  <si>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</si>
  <si>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</si>
  <si>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</si>
  <si>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</si>
  <si>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</si>
  <si>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</si>
  <si>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</si>
  <si>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</si>
  <si>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</si>
  <si>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</si>
  <si>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</si>
  <si>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</si>
  <si>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</si>
  <si>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</si>
  <si>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</si>
  <si>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</si>
  <si>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</si>
  <si>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</si>
  <si>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</si>
  <si>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</si>
  <si>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</si>
  <si>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</si>
  <si>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</si>
  <si>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</si>
  <si>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</si>
  <si>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</si>
  <si>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</si>
  <si>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</si>
  <si>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</si>
  <si>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</si>
  <si>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</si>
  <si>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</si>
  <si>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</si>
  <si>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</si>
  <si>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</si>
  <si>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</si>
  <si>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</si>
  <si>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</si>
  <si>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</si>
  <si>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</si>
  <si>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</si>
  <si>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</si>
  <si>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</si>
  <si>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</si>
  <si>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</si>
  <si>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</si>
  <si>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</si>
  <si>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</si>
  <si>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</si>
  <si>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</si>
  <si>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</si>
  <si>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</si>
  <si>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</si>
  <si>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</si>
  <si>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</si>
  <si>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</si>
  <si>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</si>
  <si>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</si>
  <si>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</si>
  <si>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</si>
  <si>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</si>
  <si>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</si>
  <si>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</si>
  <si>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</si>
  <si>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</si>
  <si>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</si>
  <si>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</si>
  <si>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</si>
  <si>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</si>
  <si>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</si>
  <si>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</si>
  <si>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</si>
  <si>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</si>
  <si>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</si>
  <si>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</si>
  <si>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</si>
  <si>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</si>
  <si>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</si>
  <si>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</si>
  <si>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</si>
  <si>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</si>
  <si>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</si>
  <si>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</si>
  <si>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</si>
  <si>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</si>
  <si>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</si>
  <si>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</si>
  <si>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</si>
  <si>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</si>
  <si>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</si>
  <si>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</si>
  <si>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</si>
  <si>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</si>
  <si>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</si>
  <si>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</si>
  <si>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</si>
  <si>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</si>
  <si>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</si>
  <si>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</si>
  <si>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</si>
  <si>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</si>
  <si>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</si>
  <si>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</si>
  <si>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</si>
  <si>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</si>
  <si>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</si>
  <si>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</si>
  <si>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</si>
  <si>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</si>
  <si>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</si>
  <si>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</si>
  <si>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</si>
  <si>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</si>
  <si>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</si>
  <si>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</si>
  <si>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</si>
  <si>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</si>
  <si>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</si>
  <si>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</si>
  <si>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</si>
  <si>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</si>
  <si>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</si>
  <si>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</si>
  <si>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</si>
  <si>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</si>
  <si>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</si>
  <si>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</si>
  <si>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</si>
  <si>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</si>
  <si>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</si>
  <si>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</si>
  <si>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</si>
  <si>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</si>
  <si>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</si>
  <si>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</si>
  <si>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</si>
  <si>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</si>
  <si>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</si>
  <si>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</si>
  <si>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</si>
  <si>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</si>
  <si>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</si>
  <si>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</si>
  <si>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</si>
  <si>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</si>
  <si>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</si>
  <si>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</si>
  <si>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</si>
  <si>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</si>
  <si>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</si>
  <si>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</si>
  <si>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</si>
  <si>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</si>
  <si>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</si>
  <si>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</si>
  <si>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</si>
  <si>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</si>
  <si>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</si>
  <si>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</si>
  <si>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</si>
  <si>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</si>
  <si>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</si>
  <si>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</si>
  <si>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</si>
  <si>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</si>
  <si>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</si>
  <si>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</si>
  <si>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</si>
  <si>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</si>
  <si>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</si>
  <si>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</si>
  <si>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</si>
  <si>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</si>
  <si>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</si>
  <si>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</si>
  <si>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</si>
  <si>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</si>
  <si>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</si>
  <si>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</si>
  <si>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</si>
  <si>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</si>
  <si>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</si>
  <si>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</si>
  <si>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</si>
  <si>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</si>
  <si>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</si>
  <si>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</si>
  <si>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</si>
  <si>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</si>
  <si>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</si>
  <si>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</si>
  <si>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</si>
  <si>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</si>
  <si>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</si>
  <si>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</si>
  <si>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</si>
  <si>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</si>
  <si>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</si>
  <si>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</si>
  <si>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</si>
  <si>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</si>
  <si>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</si>
  <si>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</si>
  <si>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</si>
  <si>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</si>
  <si>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</si>
  <si>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</si>
  <si>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</si>
  <si>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</si>
  <si>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</si>
  <si>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</si>
  <si>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</si>
  <si>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</si>
  <si>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</si>
  <si>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</si>
  <si>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</si>
  <si>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</si>
  <si>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</si>
  <si>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</si>
  <si>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</si>
  <si>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</si>
  <si>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</si>
  <si>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</si>
  <si>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</si>
  <si>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</si>
  <si>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</si>
  <si>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</si>
  <si>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</si>
  <si>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</si>
  <si>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</si>
  <si>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</si>
  <si>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</si>
  <si>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</si>
  <si>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</si>
  <si>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</si>
  <si>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</si>
  <si>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</si>
  <si>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</si>
  <si>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</si>
  <si>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</si>
  <si>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</si>
  <si>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</si>
  <si>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</si>
  <si>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</si>
  <si>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</si>
  <si>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</si>
  <si>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</si>
  <si>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</si>
  <si>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</si>
  <si>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</si>
  <si>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</si>
  <si>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</si>
  <si>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</si>
  <si>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</si>
  <si>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</si>
  <si>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</si>
  <si>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</si>
  <si>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</si>
  <si>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</si>
  <si>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</si>
  <si>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</si>
  <si>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</si>
  <si>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</si>
  <si>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</si>
  <si>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</si>
  <si>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</si>
  <si>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</si>
  <si>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</si>
  <si>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</si>
  <si>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</si>
  <si>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</si>
  <si>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</si>
  <si>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</si>
  <si>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</si>
  <si>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</si>
  <si>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</si>
  <si>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</si>
  <si>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</si>
  <si>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</si>
  <si>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</si>
  <si>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</si>
  <si>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</si>
  <si>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</si>
  <si>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</si>
  <si>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</si>
  <si>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</si>
  <si>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</si>
  <si>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</si>
  <si>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</si>
  <si>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</si>
  <si>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</si>
  <si>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</si>
  <si>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</si>
  <si>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</si>
  <si>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</si>
  <si>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</si>
  <si>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</si>
  <si>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</si>
  <si>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</si>
  <si>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</si>
  <si>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</si>
  <si>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</si>
  <si>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</si>
  <si>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</si>
  <si>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</si>
  <si>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</si>
  <si>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</si>
  <si>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</si>
  <si>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</si>
  <si>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</si>
  <si>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</si>
  <si>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</si>
  <si>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</si>
  <si>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</si>
  <si>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</si>
  <si>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</si>
  <si>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</si>
  <si>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</si>
  <si>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</si>
  <si>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</si>
  <si>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</si>
  <si>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</si>
  <si>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</si>
  <si>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</si>
  <si>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</si>
  <si>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</si>
  <si>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</si>
  <si>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</si>
  <si>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</si>
  <si>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</si>
  <si>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</si>
  <si>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</si>
  <si>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</si>
  <si>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</si>
  <si>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</si>
  <si>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</si>
  <si>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</si>
  <si>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</si>
  <si>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</si>
  <si>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</si>
  <si>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</si>
  <si>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</si>
  <si>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</si>
  <si>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</si>
  <si>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</si>
  <si>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</si>
  <si>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</si>
  <si>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</si>
  <si>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</si>
  <si>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</si>
  <si>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</si>
  <si>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</si>
  <si>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</si>
  <si>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</si>
  <si>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</si>
  <si>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</si>
  <si>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</si>
  <si>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</si>
  <si>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</si>
  <si>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</si>
  <si>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</si>
  <si>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</si>
  <si>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</si>
  <si>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</si>
  <si>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</si>
  <si>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</si>
  <si>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</si>
  <si>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</si>
  <si>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</si>
  <si>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</si>
  <si>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</si>
  <si>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</si>
  <si>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</si>
  <si>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</si>
  <si>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</si>
  <si>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</si>
  <si>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</si>
  <si>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</si>
  <si>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</si>
  <si>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</si>
  <si>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</si>
  <si>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</si>
  <si>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</si>
  <si>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</si>
  <si>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</si>
  <si>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</si>
  <si>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</si>
  <si>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</si>
  <si>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</si>
  <si>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</si>
  <si>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</si>
  <si>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</si>
  <si>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</si>
  <si>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</si>
  <si>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</si>
  <si>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</si>
  <si>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</si>
  <si>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</si>
  <si>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</si>
  <si>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</si>
  <si>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</si>
  <si>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</si>
  <si>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</si>
  <si>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</si>
  <si>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</si>
  <si>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</si>
  <si>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</si>
  <si>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</si>
  <si>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</si>
  <si>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</si>
  <si>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</si>
  <si>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</si>
  <si>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</si>
  <si>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</si>
  <si>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</si>
  <si>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</si>
  <si>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</si>
  <si>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</si>
  <si>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</si>
  <si>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</si>
  <si>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</si>
  <si>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</si>
  <si>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</si>
  <si>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</si>
  <si>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</si>
  <si>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</si>
  <si>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</si>
  <si>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</si>
  <si>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</si>
  <si>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</si>
  <si>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</si>
  <si>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</si>
  <si>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</si>
  <si>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</si>
  <si>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</si>
  <si>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</si>
  <si>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</si>
  <si>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</si>
  <si>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</si>
  <si>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</si>
  <si>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</si>
  <si>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</si>
  <si>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</si>
  <si>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</si>
  <si>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</si>
  <si>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</si>
  <si>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</si>
  <si>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</si>
  <si>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</si>
  <si>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</si>
  <si>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</si>
  <si>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</si>
  <si>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</si>
  <si>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</si>
  <si>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</si>
  <si>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</si>
  <si>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</si>
  <si>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</si>
  <si>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</si>
  <si>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</si>
  <si>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</si>
  <si>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</si>
  <si>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</si>
  <si>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</si>
  <si>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</si>
  <si>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</si>
  <si>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</si>
  <si>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</si>
  <si>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</si>
  <si>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</si>
  <si>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</si>
  <si>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</si>
  <si>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</si>
  <si>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</si>
  <si>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</si>
  <si>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</si>
  <si>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</si>
  <si>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</si>
  <si>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</si>
  <si>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</si>
  <si>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</si>
  <si>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</si>
  <si>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</si>
  <si>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</si>
  <si>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</si>
  <si>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</si>
  <si>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</si>
  <si>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</si>
  <si>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</si>
  <si>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</si>
  <si>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</si>
  <si>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</si>
  <si>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</si>
  <si>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</si>
  <si>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</si>
  <si>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</si>
  <si>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</si>
  <si>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</si>
  <si>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</si>
  <si>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</si>
  <si>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</si>
  <si>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</si>
  <si>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</si>
  <si>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</si>
  <si>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</si>
  <si>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</si>
  <si>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</si>
  <si>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</si>
  <si>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</si>
  <si>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</si>
  <si>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</si>
  <si>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</si>
  <si>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</si>
  <si>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</si>
  <si>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</si>
  <si>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</si>
  <si>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</si>
  <si>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</si>
  <si>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</si>
  <si>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</si>
  <si>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</si>
  <si>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</si>
  <si>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</si>
  <si>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</si>
  <si>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</si>
  <si>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</si>
  <si>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</si>
  <si>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</si>
  <si>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</si>
  <si>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</si>
  <si>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</si>
  <si>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</si>
  <si>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</si>
  <si>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</si>
  <si>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</si>
  <si>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</si>
  <si>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</si>
  <si>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</si>
  <si>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</si>
  <si>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</si>
  <si>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</si>
  <si>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</si>
  <si>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</si>
  <si>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</si>
  <si>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</si>
  <si>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</si>
  <si>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</si>
  <si>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</si>
  <si>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</si>
  <si>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</si>
  <si>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</si>
  <si>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</si>
  <si>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</si>
  <si>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</si>
  <si>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</si>
  <si>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</si>
  <si>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</si>
  <si>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</si>
  <si>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</si>
  <si>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</si>
  <si>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</si>
  <si>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</si>
  <si>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</si>
  <si>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</si>
  <si>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</si>
  <si>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</si>
  <si>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</si>
  <si>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</si>
  <si>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</si>
  <si>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</si>
  <si>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</si>
  <si>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</si>
  <si>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</si>
  <si>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</si>
  <si>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</si>
  <si>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</si>
  <si>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</si>
  <si>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</si>
  <si>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</si>
  <si>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</si>
  <si>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</si>
  <si>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</si>
  <si>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</si>
  <si>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</si>
  <si>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</si>
  <si>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</si>
  <si>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</si>
  <si>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</si>
  <si>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</si>
  <si>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</si>
  <si>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</si>
  <si>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</si>
  <si>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</si>
  <si>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</si>
  <si>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</si>
  <si>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</si>
  <si>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</si>
  <si>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</si>
  <si>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</si>
  <si>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</si>
  <si>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</si>
  <si>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</si>
  <si>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</si>
  <si>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</si>
  <si>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</si>
  <si>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</si>
  <si>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</si>
  <si>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</si>
  <si>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</si>
  <si>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</si>
  <si>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</si>
  <si>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</si>
  <si>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</si>
  <si>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</si>
  <si>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</si>
  <si>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</si>
  <si>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</si>
  <si>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</si>
  <si>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</si>
  <si>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</si>
  <si>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</si>
  <si>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</si>
  <si>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</si>
  <si>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</si>
  <si>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</si>
  <si>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</si>
  <si>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</si>
  <si>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</si>
  <si>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</si>
  <si>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</si>
  <si>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</si>
  <si>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</si>
  <si>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</si>
  <si>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</si>
  <si>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</si>
  <si>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</si>
  <si>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</si>
  <si>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</si>
  <si>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</si>
  <si>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</si>
  <si>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</si>
  <si>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</si>
  <si>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</si>
  <si>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</si>
  <si>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</si>
  <si>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</si>
  <si>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</si>
  <si>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</si>
  <si>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</si>
  <si>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</si>
  <si>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</si>
  <si>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</si>
  <si>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</si>
  <si>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</si>
  <si>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</si>
  <si>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</si>
  <si>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</si>
  <si>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</si>
  <si>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</si>
  <si>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</si>
  <si>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</si>
  <si>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</si>
  <si>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</si>
  <si>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</si>
  <si>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</si>
  <si>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</si>
  <si>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</si>
  <si>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</si>
  <si>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</si>
  <si>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</si>
  <si>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</si>
  <si>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</si>
  <si>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</si>
  <si>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</si>
  <si>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</si>
  <si>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</si>
  <si>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</si>
  <si>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</si>
  <si>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</si>
  <si>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</si>
  <si>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</si>
  <si>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</si>
  <si>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</si>
  <si>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</si>
  <si>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</si>
  <si>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</si>
  <si>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</si>
  <si>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</si>
  <si>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</si>
  <si>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</si>
  <si>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</si>
  <si>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</si>
  <si>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</si>
  <si>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</si>
  <si>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</si>
  <si>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</si>
  <si>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</si>
  <si>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</si>
  <si>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</si>
  <si>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</si>
  <si>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</si>
  <si>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</si>
  <si>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</si>
  <si>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</si>
  <si>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</si>
  <si>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</si>
  <si>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</si>
  <si>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</si>
  <si>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</si>
  <si>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</si>
  <si>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</si>
  <si>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</si>
  <si>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</si>
  <si>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</si>
  <si>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</si>
  <si>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</si>
  <si>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</si>
  <si>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</si>
  <si>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</si>
  <si>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</si>
  <si>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</si>
  <si>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</si>
  <si>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</si>
  <si>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</si>
  <si>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</si>
  <si>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</si>
  <si>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</si>
  <si>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</si>
  <si>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</si>
  <si>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</si>
  <si>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</si>
  <si>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</si>
  <si>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</si>
  <si>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</si>
  <si>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</si>
  <si>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</si>
  <si>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</si>
  <si>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</si>
  <si>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</si>
  <si>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</si>
  <si>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</si>
  <si>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</si>
  <si>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</si>
  <si>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</si>
  <si>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</si>
  <si>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</si>
  <si>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</si>
  <si>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</si>
  <si>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</si>
  <si>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</si>
  <si>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</si>
  <si>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</si>
  <si>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</si>
  <si>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</si>
  <si>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</si>
  <si>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</si>
  <si>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</si>
  <si>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</si>
  <si>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</si>
  <si>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</si>
  <si>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</si>
  <si>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</si>
  <si>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</si>
  <si>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</si>
  <si>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</si>
  <si>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</si>
  <si>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</si>
  <si>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</si>
  <si>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</si>
  <si>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</si>
  <si>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</si>
  <si>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</si>
  <si>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</si>
  <si>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</si>
  <si>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</si>
  <si>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</si>
  <si>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</si>
  <si>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</si>
  <si>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</si>
  <si>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</si>
  <si>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</si>
  <si>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</si>
  <si>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</si>
  <si>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</si>
  <si>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</si>
  <si>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</si>
  <si>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</si>
  <si>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</si>
  <si>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</si>
  <si>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</si>
  <si>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</si>
  <si>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</si>
  <si>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</si>
  <si>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</si>
  <si>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</si>
  <si>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</si>
  <si>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</si>
  <si>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</si>
  <si>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</si>
  <si>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</si>
  <si>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</si>
  <si>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</si>
  <si>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</si>
  <si>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</si>
  <si>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</si>
  <si>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</si>
  <si>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</si>
  <si>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</si>
  <si>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</si>
  <si>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</si>
  <si>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</si>
  <si>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</si>
  <si>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</si>
  <si>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</si>
  <si>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</si>
  <si>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</si>
  <si>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</si>
  <si>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</si>
  <si>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</si>
  <si>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</si>
  <si>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</si>
  <si>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</si>
  <si>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</si>
  <si>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</si>
  <si>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</si>
  <si>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</si>
  <si>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</si>
  <si>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</si>
  <si>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</si>
  <si>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</si>
  <si>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</si>
  <si>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</si>
  <si>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</si>
  <si>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</si>
  <si>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</si>
  <si>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</si>
  <si>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</si>
  <si>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</si>
  <si>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</si>
  <si>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</si>
  <si>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</si>
  <si>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</si>
  <si>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</si>
  <si>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</si>
  <si>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</si>
  <si>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</si>
  <si>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</si>
  <si>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</si>
  <si>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</si>
  <si>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</si>
  <si>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</si>
  <si>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</si>
  <si>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</si>
  <si>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</si>
  <si>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</si>
  <si>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</si>
  <si>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</si>
  <si>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</si>
  <si>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</si>
  <si>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</si>
  <si>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</si>
  <si>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</si>
  <si>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</si>
  <si>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</si>
  <si>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</si>
  <si>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</si>
  <si>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</si>
  <si>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</si>
  <si>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</si>
  <si>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</si>
  <si>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</si>
  <si>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</si>
  <si>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</si>
  <si>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</si>
  <si>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</si>
  <si>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</si>
  <si>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</si>
  <si>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</si>
  <si>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</si>
  <si>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</si>
  <si>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</si>
  <si>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</si>
  <si>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</si>
  <si>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</si>
  <si>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</si>
  <si>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</si>
  <si>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</si>
  <si>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</si>
  <si>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</si>
  <si>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</si>
  <si>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</si>
  <si>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</si>
  <si>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</si>
  <si>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</si>
  <si>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</si>
  <si>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</si>
  <si>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</si>
  <si>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</si>
  <si>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</si>
  <si>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</si>
  <si>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</si>
  <si>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</si>
  <si>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</si>
  <si>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</si>
  <si>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</si>
  <si>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</si>
  <si>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</si>
  <si>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</si>
  <si>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</si>
  <si>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</si>
  <si>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</si>
  <si>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</si>
  <si>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</si>
  <si>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</si>
  <si>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</si>
  <si>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</si>
  <si>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</si>
  <si>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</si>
  <si>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</si>
  <si>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</si>
  <si>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</si>
  <si>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</si>
  <si>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</si>
  <si>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</si>
  <si>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</si>
  <si>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</si>
  <si>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</si>
  <si>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</si>
  <si>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</si>
  <si>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</si>
  <si>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</si>
  <si>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</si>
  <si>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</si>
  <si>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</si>
  <si>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</si>
  <si>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</si>
  <si>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</si>
  <si>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</si>
  <si>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</si>
  <si>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</si>
  <si>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</si>
  <si>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</si>
  <si>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</si>
  <si>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</si>
  <si>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</si>
  <si>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</si>
  <si>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</si>
  <si>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</si>
  <si>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</si>
  <si>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</si>
  <si>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</si>
  <si>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</si>
  <si>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</si>
  <si>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</si>
  <si>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</si>
  <si>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</si>
  <si>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</si>
  <si>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</si>
  <si>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</si>
  <si>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</si>
  <si>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</si>
  <si>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</si>
  <si>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</si>
  <si>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</si>
  <si>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</si>
  <si>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</si>
  <si>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</si>
  <si>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</si>
  <si>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</si>
  <si>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</si>
  <si>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</si>
  <si>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</si>
  <si>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</si>
  <si>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</si>
  <si>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</si>
  <si>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</si>
  <si>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</si>
  <si>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</si>
  <si>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</si>
  <si>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</si>
  <si>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</si>
  <si>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</si>
  <si>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</si>
  <si>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</si>
  <si>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</si>
  <si>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</si>
  <si>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</si>
  <si>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</si>
  <si>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</si>
  <si>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</si>
  <si>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</si>
  <si>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</si>
  <si>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</si>
  <si>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</si>
  <si>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</si>
  <si>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</si>
  <si>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</si>
  <si>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</si>
  <si>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</si>
  <si>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</si>
  <si>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</si>
  <si>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</si>
  <si>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</si>
  <si>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</si>
  <si>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</si>
  <si>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</si>
  <si>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</si>
  <si>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</si>
  <si>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</si>
  <si>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</si>
  <si>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</si>
  <si>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</si>
  <si>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</si>
  <si>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</si>
  <si>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</si>
  <si>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</si>
  <si>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</si>
  <si>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</si>
  <si>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</si>
  <si>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</si>
  <si>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</si>
  <si>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</si>
  <si>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</si>
  <si>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</si>
  <si>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</si>
  <si>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</si>
  <si>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</si>
  <si>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</si>
  <si>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</si>
  <si>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</si>
  <si>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</si>
  <si>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</si>
  <si>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</si>
  <si>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</si>
  <si>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</si>
  <si>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</si>
  <si>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</si>
  <si>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</si>
  <si>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</si>
  <si>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</si>
  <si>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</si>
  <si>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</si>
  <si>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</si>
  <si>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</si>
  <si>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</si>
  <si>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</si>
  <si>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</si>
  <si>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</si>
  <si>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</si>
  <si>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</si>
  <si>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</si>
  <si>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</si>
  <si>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</si>
  <si>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</si>
  <si>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</si>
  <si>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</si>
  <si>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</si>
  <si>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</si>
  <si>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</si>
  <si>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</si>
  <si>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</si>
  <si>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</si>
  <si>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</si>
  <si>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</si>
  <si>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</si>
  <si>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</si>
  <si>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</si>
  <si>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</si>
  <si>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</si>
  <si>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</si>
  <si>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</si>
  <si>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</si>
  <si>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</si>
  <si>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</si>
  <si>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</si>
  <si>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</si>
  <si>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</si>
  <si>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</si>
  <si>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</si>
  <si>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</si>
  <si>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</si>
  <si>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</si>
  <si>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</si>
  <si>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</si>
  <si>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</si>
  <si>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</si>
  <si>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</si>
  <si>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</si>
  <si>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</si>
  <si>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</si>
  <si>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</si>
  <si>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</si>
  <si>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</si>
  <si>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</si>
  <si>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</si>
  <si>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</si>
  <si>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</si>
  <si>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</si>
  <si>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</si>
  <si>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</si>
  <si>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</si>
  <si>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</si>
  <si>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</si>
  <si>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</si>
  <si>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</si>
  <si>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</si>
  <si>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</si>
  <si>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</si>
  <si>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</si>
  <si>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</si>
  <si>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</si>
  <si>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</si>
  <si>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</si>
  <si>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</si>
  <si>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</si>
  <si>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</si>
  <si>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</si>
  <si>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</si>
  <si>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</si>
  <si>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</si>
  <si>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</si>
  <si>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</si>
  <si>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</si>
  <si>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</si>
  <si>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</si>
  <si>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</si>
  <si>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</si>
  <si>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</si>
  <si>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</si>
  <si>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</si>
  <si>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</si>
  <si>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</si>
  <si>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</si>
  <si>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</si>
  <si>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</si>
  <si>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</si>
  <si>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</si>
  <si>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</si>
  <si>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</si>
  <si>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</si>
  <si>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</si>
  <si>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</si>
  <si>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</si>
  <si>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</si>
  <si>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</si>
  <si>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</si>
  <si>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</si>
  <si>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</si>
  <si>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</si>
  <si>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</si>
  <si>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</si>
  <si>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</si>
  <si>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</si>
  <si>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</si>
  <si>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</si>
  <si>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</si>
  <si>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</si>
  <si>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</si>
  <si>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</si>
  <si>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</si>
  <si>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</si>
  <si>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</si>
  <si>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</si>
  <si>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</si>
  <si>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</si>
  <si>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</si>
  <si>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</si>
  <si>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</si>
  <si>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</si>
  <si>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</si>
  <si>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</si>
  <si>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</si>
  <si>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</si>
  <si>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</si>
  <si>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</si>
  <si>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</si>
  <si>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</si>
  <si>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</si>
  <si>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</si>
  <si>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</si>
  <si>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</si>
  <si>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</si>
  <si>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</si>
  <si>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</si>
  <si>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</si>
  <si>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</si>
  <si>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</si>
  <si>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</si>
  <si>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</si>
  <si>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</si>
  <si>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</si>
  <si>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</si>
  <si>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</si>
  <si>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</si>
  <si>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</si>
  <si>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</si>
  <si>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</si>
  <si>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</si>
  <si>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</si>
  <si>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</si>
  <si>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</si>
  <si>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</si>
  <si>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</si>
  <si>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</si>
  <si>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</si>
  <si>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</si>
  <si>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</si>
  <si>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</si>
  <si>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</si>
  <si>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</si>
  <si>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</si>
  <si>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</si>
  <si>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</si>
  <si>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</si>
  <si>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</si>
  <si>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</si>
  <si>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</si>
  <si>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</si>
  <si>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</si>
  <si>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</si>
  <si>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</si>
  <si>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</si>
  <si>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</si>
  <si>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</si>
  <si>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</si>
  <si>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</si>
  <si>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</si>
  <si>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</si>
  <si>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</si>
  <si>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</si>
  <si>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</si>
  <si>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</si>
  <si>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</si>
  <si>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</si>
  <si>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</si>
  <si>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</si>
  <si>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</si>
  <si>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</si>
  <si>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</si>
  <si>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</si>
  <si>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</si>
  <si>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</si>
  <si>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</si>
  <si>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</si>
  <si>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</si>
  <si>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</si>
  <si>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</si>
  <si>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</si>
  <si>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</si>
  <si>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</si>
  <si>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</si>
  <si>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</si>
  <si>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</si>
  <si>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</si>
  <si>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</si>
  <si>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</si>
  <si>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</si>
  <si>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</si>
  <si>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</si>
  <si>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</si>
  <si>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</si>
  <si>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</si>
  <si>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</si>
  <si>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</si>
  <si>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</si>
  <si>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</si>
  <si>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</si>
  <si>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</si>
  <si>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</si>
  <si>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</si>
  <si>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</si>
  <si>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</si>
  <si>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</si>
  <si>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</si>
  <si>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</si>
  <si>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</si>
  <si>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</si>
  <si>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</si>
  <si>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</si>
  <si>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</si>
  <si>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</si>
  <si>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</si>
  <si>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</si>
  <si>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</si>
  <si>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</si>
  <si>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</si>
  <si>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</si>
  <si>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</si>
  <si>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</si>
  <si>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</si>
  <si>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</si>
  <si>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</si>
  <si>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</si>
  <si>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</si>
  <si>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</si>
  <si>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</si>
  <si>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</si>
  <si>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</si>
  <si>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</si>
  <si>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</si>
  <si>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</si>
  <si>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</si>
  <si>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</si>
  <si>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</si>
  <si>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</si>
  <si>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</si>
  <si>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</si>
  <si>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</si>
  <si>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</si>
  <si>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</si>
  <si>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</si>
  <si>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</si>
  <si>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</si>
  <si>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</si>
  <si>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</si>
  <si>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</si>
  <si>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</si>
  <si>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</si>
  <si>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</si>
  <si>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</si>
  <si>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</si>
  <si>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</si>
  <si>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</si>
  <si>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</si>
  <si>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</si>
  <si>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</si>
  <si>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</si>
  <si>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</si>
  <si>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</si>
  <si>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</si>
  <si>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</si>
  <si>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</si>
  <si>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</si>
  <si>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</si>
  <si>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</si>
  <si>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</si>
  <si>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</si>
  <si>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</si>
  <si>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</si>
  <si>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</si>
  <si>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</si>
  <si>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</si>
  <si>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</si>
  <si>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</si>
  <si>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</si>
  <si>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</si>
  <si>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</si>
  <si>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</si>
  <si>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</si>
  <si>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</si>
  <si>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</si>
  <si>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</si>
  <si>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</si>
  <si>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</si>
  <si>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</si>
  <si>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</si>
  <si>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</si>
  <si>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</si>
  <si>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</si>
  <si>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</si>
  <si>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</si>
  <si>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</si>
  <si>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</si>
  <si>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</si>
  <si>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</si>
  <si>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</si>
  <si>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</si>
  <si>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</si>
  <si>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</si>
  <si>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</si>
  <si>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</si>
  <si>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</si>
  <si>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</si>
  <si>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</si>
  <si>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</si>
  <si>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</si>
  <si>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</si>
  <si>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</si>
  <si>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</si>
  <si>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</si>
  <si>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</si>
  <si>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</si>
  <si>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</si>
  <si>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</si>
  <si>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</si>
  <si>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</si>
  <si>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</si>
  <si>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</si>
  <si>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</si>
  <si>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</si>
  <si>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</si>
  <si>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</si>
  <si>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</si>
  <si>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</si>
  <si>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</si>
  <si>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</si>
  <si>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</si>
  <si>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</si>
  <si>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</si>
  <si>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</si>
  <si>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</si>
  <si>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</si>
  <si>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</si>
  <si>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</si>
  <si>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</si>
  <si>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</si>
  <si>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</si>
  <si>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</si>
  <si>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</si>
  <si>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</si>
  <si>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</si>
  <si>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</si>
  <si>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</si>
  <si>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</si>
  <si>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</si>
  <si>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</si>
  <si>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</si>
  <si>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</si>
  <si>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</si>
  <si>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</si>
  <si>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</si>
  <si>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</si>
  <si>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</si>
  <si>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</si>
  <si>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</si>
  <si>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</si>
  <si>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</si>
  <si>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</si>
  <si>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</si>
  <si>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</si>
  <si>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</si>
  <si>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</si>
  <si>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</si>
  <si>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</si>
  <si>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</si>
  <si>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</si>
  <si>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</si>
  <si>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</si>
  <si>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</si>
  <si>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</si>
  <si>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</si>
  <si>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</si>
  <si>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</si>
  <si>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</si>
  <si>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</si>
  <si>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</si>
  <si>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</si>
  <si>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</si>
  <si>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</si>
  <si>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</si>
  <si>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</si>
  <si>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</si>
  <si>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</si>
  <si>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</si>
  <si>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</si>
  <si>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</si>
  <si>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</si>
  <si>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</si>
  <si>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</si>
  <si>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</si>
  <si>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</si>
  <si>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</si>
  <si>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</si>
  <si>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</si>
  <si>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</si>
  <si>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</si>
  <si>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</si>
  <si>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</si>
  <si>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</si>
  <si>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</si>
  <si>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</si>
  <si>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</si>
  <si>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</si>
  <si>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</si>
  <si>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</si>
  <si>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</si>
  <si>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</si>
  <si>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</si>
  <si>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</si>
  <si>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</si>
  <si>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</si>
  <si>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</si>
  <si>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</si>
  <si>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</si>
  <si>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</si>
  <si>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</si>
  <si>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</si>
  <si>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</si>
  <si>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</si>
  <si>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</si>
  <si>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</si>
  <si>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</si>
  <si>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</si>
  <si>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</si>
  <si>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</si>
  <si>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</si>
  <si>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</si>
  <si>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</si>
  <si>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</si>
  <si>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</si>
  <si>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</si>
  <si>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</si>
  <si>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</si>
  <si>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</si>
  <si>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</si>
  <si>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</si>
  <si>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</si>
  <si>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</si>
  <si>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</si>
  <si>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</si>
  <si>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</si>
  <si>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</si>
  <si>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</si>
  <si>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</si>
  <si>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</si>
  <si>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</si>
  <si>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</si>
  <si>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</si>
  <si>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</si>
  <si>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</si>
  <si>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</si>
  <si>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</si>
  <si>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</si>
  <si>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</si>
  <si>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</si>
  <si>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</si>
  <si>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</si>
  <si>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</si>
  <si>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</si>
  <si>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</si>
  <si>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</si>
  <si>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</si>
  <si>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</si>
  <si>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</si>
  <si>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</si>
  <si>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</si>
  <si>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</si>
  <si>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</si>
  <si>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</si>
  <si>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</si>
  <si>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</si>
  <si>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</si>
  <si>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</si>
  <si>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</si>
  <si>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</si>
  <si>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</si>
  <si>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</si>
  <si>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</si>
  <si>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</si>
  <si>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</si>
  <si>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</si>
  <si>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</si>
  <si>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</si>
  <si>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</si>
  <si>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</si>
  <si>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</si>
  <si>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</si>
  <si>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</si>
  <si>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</si>
  <si>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</si>
  <si>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</si>
  <si>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</si>
  <si>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</si>
  <si>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</si>
  <si>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</si>
  <si>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</si>
  <si>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</si>
  <si>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</si>
  <si>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</si>
  <si>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</si>
  <si>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</si>
  <si>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</si>
  <si>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</si>
  <si>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</si>
  <si>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</si>
  <si>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</si>
  <si>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</si>
  <si>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</si>
  <si>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</si>
  <si>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</si>
  <si>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</si>
  <si>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</si>
  <si>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</si>
  <si>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</si>
  <si>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</si>
  <si>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</si>
  <si>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</si>
  <si>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</si>
  <si>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</si>
  <si>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</si>
  <si>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</si>
  <si>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</si>
  <si>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</si>
  <si>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</si>
  <si>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</si>
  <si>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</si>
  <si>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</si>
  <si>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</si>
  <si>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</si>
  <si>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</si>
  <si>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</si>
  <si>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</si>
  <si>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</si>
  <si>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</si>
  <si>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</si>
  <si>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</si>
  <si>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</si>
  <si>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</si>
  <si>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</si>
  <si>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</si>
  <si>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</si>
  <si>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</si>
  <si>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</si>
  <si>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</si>
  <si>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</si>
  <si>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</si>
  <si>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</si>
  <si>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</si>
  <si>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</si>
  <si>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</si>
  <si>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</si>
  <si>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</si>
  <si>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</si>
  <si>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</si>
  <si>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</si>
  <si>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</si>
  <si>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</si>
  <si>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</si>
  <si>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</si>
  <si>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</si>
  <si>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</si>
  <si>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</si>
  <si>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</si>
  <si>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</si>
  <si>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</si>
  <si>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</si>
  <si>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</si>
  <si>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</si>
  <si>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</si>
  <si>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</si>
  <si>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</si>
  <si>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</si>
  <si>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</si>
  <si>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</si>
  <si>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</si>
  <si>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</si>
  <si>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</si>
  <si>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</si>
  <si>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</si>
  <si>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</si>
  <si>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</si>
  <si>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</si>
  <si>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</si>
  <si>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</si>
  <si>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</si>
  <si>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</si>
  <si>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</si>
  <si>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</si>
  <si>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</si>
  <si>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</si>
  <si>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</si>
  <si>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</si>
  <si>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</si>
  <si>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</si>
  <si>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</si>
  <si>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</si>
  <si>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</si>
  <si>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</si>
  <si>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</si>
  <si>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</si>
  <si>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</si>
  <si>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</si>
  <si>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</si>
  <si>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</si>
  <si>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</si>
  <si>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</si>
  <si>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</si>
  <si>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</si>
  <si>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</si>
  <si>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</si>
  <si>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</si>
  <si>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</si>
  <si>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</si>
  <si>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</si>
  <si>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</si>
  <si>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</si>
  <si>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</si>
  <si>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</si>
  <si>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</si>
  <si>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</si>
  <si>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</si>
  <si>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</si>
  <si>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</si>
  <si>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</si>
  <si>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</si>
  <si>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</si>
  <si>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</si>
  <si>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</si>
  <si>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</si>
  <si>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</si>
  <si>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</si>
  <si>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</si>
  <si>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</si>
  <si>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</si>
  <si>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</si>
  <si>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</si>
  <si>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</si>
  <si>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</si>
  <si>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</si>
  <si>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</si>
  <si>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</si>
  <si>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</si>
  <si>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</si>
  <si>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</si>
  <si>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</si>
  <si>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</si>
  <si>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</si>
  <si>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</si>
  <si>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</si>
  <si>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</si>
  <si>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</si>
  <si>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</si>
  <si>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</si>
  <si>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</si>
  <si>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</si>
  <si>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</si>
  <si>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</si>
  <si>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</si>
  <si>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</si>
  <si>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</si>
  <si>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</si>
  <si>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</si>
  <si>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</si>
  <si>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</si>
  <si>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</si>
  <si>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</si>
  <si>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</si>
  <si>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</si>
  <si>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</si>
  <si>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</si>
  <si>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</si>
  <si>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</si>
  <si>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</si>
  <si>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</si>
  <si>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</si>
  <si>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</si>
  <si>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</si>
  <si>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</si>
  <si>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</si>
  <si>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</si>
  <si>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</si>
  <si>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</si>
  <si>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</si>
  <si>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</si>
  <si>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</si>
  <si>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</si>
  <si>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</si>
  <si>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</si>
  <si>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</si>
  <si>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</si>
  <si>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</si>
  <si>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</si>
  <si>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</si>
  <si>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</si>
  <si>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</si>
  <si>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</si>
  <si>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</si>
  <si>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</si>
  <si>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</si>
  <si>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</si>
  <si>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</si>
  <si>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</si>
  <si>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</si>
  <si>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</si>
  <si>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</si>
  <si>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</si>
  <si>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</si>
  <si>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</si>
  <si>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</si>
  <si>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</si>
  <si>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</si>
  <si>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</si>
  <si>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</si>
  <si>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</si>
  <si>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</si>
  <si>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</si>
  <si>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</si>
  <si>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</si>
  <si>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</si>
  <si>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</si>
  <si>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</si>
  <si>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</si>
  <si>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</si>
  <si>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</si>
  <si>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</si>
  <si>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</si>
  <si>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</si>
  <si>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</si>
  <si>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</si>
  <si>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</si>
  <si>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</si>
  <si>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</si>
  <si>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</si>
  <si>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</si>
  <si>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</si>
  <si>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</si>
  <si>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</si>
  <si>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</si>
  <si>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</si>
  <si>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</si>
  <si>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</si>
  <si>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</si>
  <si>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</si>
  <si>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</si>
  <si>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</si>
  <si>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</si>
  <si>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</si>
  <si>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</si>
  <si>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</si>
  <si>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</si>
  <si>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</si>
  <si>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</si>
  <si>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</si>
  <si>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</si>
  <si>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</si>
  <si>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</si>
  <si>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</si>
  <si>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</si>
  <si>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</si>
  <si>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</si>
  <si>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</si>
  <si>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</si>
  <si>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</si>
  <si>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</si>
  <si>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</si>
  <si>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</si>
  <si>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</si>
  <si>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</si>
  <si>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</si>
  <si>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</si>
  <si>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</si>
  <si>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</si>
  <si>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</si>
  <si>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</si>
  <si>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</si>
  <si>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</si>
  <si>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</si>
  <si>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</si>
  <si>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</si>
  <si>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</si>
  <si>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</si>
  <si>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</si>
  <si>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</si>
  <si>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</si>
  <si>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</si>
  <si>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</si>
  <si>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</si>
  <si>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</si>
  <si>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</si>
  <si>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</si>
  <si>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</si>
  <si>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</si>
  <si>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</si>
  <si>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</si>
  <si>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</si>
  <si>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</si>
  <si>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</si>
  <si>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</si>
  <si>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</si>
  <si>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</si>
  <si>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</si>
  <si>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</si>
  <si>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</si>
  <si>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</si>
  <si>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</si>
  <si>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</si>
  <si>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</si>
  <si>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</si>
  <si>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</si>
  <si>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</si>
  <si>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</si>
  <si>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</si>
  <si>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</si>
  <si>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</si>
  <si>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</si>
  <si>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</si>
  <si>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</si>
  <si>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</si>
  <si>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</si>
  <si>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</si>
  <si>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</si>
  <si>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</si>
  <si>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</si>
  <si>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</si>
  <si>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</si>
  <si>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</si>
  <si>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</si>
  <si>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</si>
  <si>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</si>
  <si>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</si>
  <si>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</si>
  <si>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</si>
  <si>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</si>
  <si>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</si>
  <si>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</si>
  <si>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</si>
  <si>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</si>
  <si>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</si>
  <si>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</si>
  <si>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</si>
  <si>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</si>
  <si>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</si>
  <si>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</si>
  <si>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</si>
  <si>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</si>
  <si>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</si>
  <si>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</si>
  <si>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</si>
  <si>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</si>
  <si>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</si>
  <si>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</si>
  <si>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</si>
  <si>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</si>
  <si>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</si>
  <si>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</si>
  <si>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</si>
  <si>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</si>
  <si>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</si>
  <si>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</si>
  <si>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</si>
  <si>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</si>
  <si>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</si>
  <si>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</si>
  <si>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</si>
  <si>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</si>
  <si>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</si>
  <si>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</si>
  <si>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</si>
  <si>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</si>
  <si>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</si>
  <si>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</si>
  <si>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</si>
  <si>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</si>
  <si>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</si>
  <si>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</si>
  <si>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</si>
  <si>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</si>
  <si>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</si>
  <si>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</si>
  <si>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</si>
  <si>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</si>
  <si>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</si>
  <si>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</si>
  <si>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</si>
  <si>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</si>
  <si>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</si>
  <si>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</si>
  <si>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</si>
  <si>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</si>
  <si>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</si>
  <si>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</si>
  <si>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</si>
  <si>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</si>
  <si>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</si>
  <si>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</si>
  <si>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</si>
  <si>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</si>
  <si>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</si>
  <si>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</si>
  <si>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</si>
  <si>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</si>
  <si>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</si>
  <si>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</si>
  <si>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</si>
  <si>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</si>
  <si>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</si>
  <si>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</si>
  <si>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</si>
  <si>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</si>
  <si>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</si>
  <si>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</si>
  <si>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</si>
  <si>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</si>
  <si>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</si>
  <si>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</si>
  <si>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</si>
  <si>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</si>
  <si>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</si>
  <si>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</si>
  <si>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</si>
  <si>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</si>
  <si>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</si>
  <si>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</si>
  <si>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</si>
  <si>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</si>
  <si>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</si>
  <si>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</si>
  <si>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</si>
  <si>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</si>
  <si>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</si>
  <si>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</si>
  <si>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</si>
  <si>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</si>
  <si>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</si>
  <si>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</si>
  <si>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</si>
  <si>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</si>
  <si>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</si>
  <si>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</si>
  <si>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</si>
  <si>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</si>
  <si>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</si>
  <si>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</si>
  <si>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</si>
  <si>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</si>
  <si>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</si>
  <si>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</si>
  <si>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</si>
  <si>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</si>
  <si>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</si>
  <si>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</si>
  <si>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</si>
  <si>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</si>
  <si>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</si>
  <si>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</si>
  <si>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</si>
  <si>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</si>
  <si>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</si>
  <si>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</si>
  <si>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</si>
  <si>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</si>
  <si>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</si>
  <si>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</si>
  <si>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</si>
  <si>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</si>
  <si>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</si>
  <si>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</si>
  <si>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</si>
  <si>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</si>
  <si>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</si>
  <si>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</si>
  <si>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</si>
  <si>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</si>
  <si>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</si>
  <si>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</si>
  <si>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</si>
  <si>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</si>
  <si>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</si>
  <si>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</si>
  <si>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</si>
  <si>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</si>
  <si>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</si>
  <si>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</si>
  <si>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</si>
  <si>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</si>
  <si>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</si>
  <si>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</si>
  <si>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</si>
  <si>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</si>
  <si>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</si>
  <si>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</si>
  <si>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</si>
  <si>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</si>
  <si>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</si>
  <si>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</si>
  <si>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</si>
  <si>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</si>
  <si>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</si>
  <si>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</si>
  <si>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</si>
  <si>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</si>
  <si>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</si>
  <si>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</si>
  <si>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</si>
  <si>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</si>
  <si>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</si>
  <si>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</si>
  <si>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</si>
  <si>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</si>
  <si>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</si>
  <si>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</si>
  <si>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</si>
  <si>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</si>
  <si>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</si>
  <si>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Observations</t>
  </si>
  <si>
    <t>Total Vriables</t>
  </si>
  <si>
    <t>Unit Price</t>
  </si>
  <si>
    <t>Total Price</t>
  </si>
  <si>
    <t>Mean/Average</t>
  </si>
  <si>
    <t>Measure</t>
  </si>
  <si>
    <t>Median</t>
  </si>
  <si>
    <t>Maximum</t>
  </si>
  <si>
    <t>Minimum</t>
  </si>
  <si>
    <t>Grand Total</t>
  </si>
  <si>
    <t>Count of Product</t>
  </si>
  <si>
    <t>Row Labels</t>
  </si>
  <si>
    <t>Count of PaymentMethod</t>
  </si>
  <si>
    <t>Count of OrderStatus</t>
  </si>
  <si>
    <t>Count of CouponCode</t>
  </si>
  <si>
    <t>Count of ReferralSource</t>
  </si>
  <si>
    <t xml:space="preserve">Year </t>
  </si>
  <si>
    <t>Average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</si>
</sst>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[CLEANED_DATA_PROJECT1.xlsx]PAYMENT METHOD!PivotTable5</c:name>
    <c:fmtId val="1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'PAYMENT METHOD'!$E$3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'PAYMENT METHOD'!$D$4:$D$9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METHOD'!$E$4:$E$9</c:f>
              <c:numCache>
                <c:formatCode>0.00%</c:formatCode>
                <c:ptCount val="5"/>
                <c:pt idx="0">
                  <c:v>0.215</c:v>
                </c:pt>
                <c:pt idx="1">
                  <c:v>0.20499999999999999</c:v>
                </c:pt>
                <c:pt idx="2">
                  <c:v>0.19500000000000001</c:v>
                </c:pt>
                <c:pt idx="3">
                  <c:v>0.19333333333333333</c:v>
                </c:pt>
                <c:pt idx="4">
                  <c:v>0.19166666666666668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[CLEANED_DATA_PROJECT1.xlsx]ORDER STATUS!PivotTable6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STATUS'!$A$4:$A$9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STATUS'!$B$4:$B$9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686696"/>
        <c:axId val="290681992"/>
      </c:barChart>
      <c:catAx>
        <c:axId val="29068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81992"/>
        <c:crosses val="autoZero"/>
        <c:auto val="1"/>
        <c:lblAlgn val="ctr"/>
        <c:lblOffset val="100"/>
        <c:noMultiLvlLbl val="0"/>
      </c:catAx>
      <c:valAx>
        <c:axId val="29068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8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[CLEANED_DATA_PROJECT1.xlsx]COUPON CODE!PivotTable9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'COUPON CODE'!$B$3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'COUPON CODE'!$A$4:$A$8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'COUPON CODE'!$B$4:$B$8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683168"/>
        <c:axId val="290684736"/>
      </c:barChart>
      <c:catAx>
        <c:axId val="2906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84736"/>
        <c:crosses val="autoZero"/>
        <c:auto val="1"/>
        <c:lblAlgn val="ctr"/>
        <c:lblOffset val="100"/>
        <c:noMultiLvlLbl val="0"/>
      </c:catAx>
      <c:valAx>
        <c:axId val="2906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8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[CLEANED_DATA_PROJECT1.xlsx]REFERRAL SOURCE!PivotTable12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'REFERRAL SOURCE'!$A$4:$A$9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SOURCE'!$B$4:$B$9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687088"/>
        <c:axId val="290680424"/>
      </c:barChart>
      <c:catAx>
        <c:axId val="29068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80424"/>
        <c:crosses val="autoZero"/>
        <c:auto val="1"/>
        <c:lblAlgn val="ctr"/>
        <c:lblOffset val="100"/>
        <c:noMultiLvlLbl val="0"/>
      </c:catAx>
      <c:valAx>
        <c:axId val="29068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8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[CLEANED_DATA_PROJECT1.xlsx]TREND ANALYSIS!PivotTable1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'TREND ANALYSIS'!$A$4:$A$7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'TREND ANALYSIS'!$B$4:$B$7</c:f>
              <c:numCache>
                <c:formatCode>0.00</c:formatCode>
                <c:ptCount val="3"/>
                <c:pt idx="0">
                  <c:v>1083.614196078431</c:v>
                </c:pt>
                <c:pt idx="1">
                  <c:v>1046.2655119825715</c:v>
                </c:pt>
                <c:pt idx="2">
                  <c:v>1003.8218614718618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501192"/>
        <c:axId val="285497272"/>
      </c:lineChart>
      <c:catAx>
        <c:axId val="28550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97272"/>
        <c:crosses val="autoZero"/>
        <c:auto val="1"/>
        <c:lblAlgn val="ctr"/>
        <c:lblOffset val="100"/>
        <c:noMultiLvlLbl val="0"/>
      </c:catAx>
      <c:valAx>
        <c:axId val="28549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011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[CLEANED_DATA_PROJECT1.xlsx]PRODUCT DISTRIBUTION!PivotTable7</c:name>
    <c:fmtId val="2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'PRODUCT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'PRODUCT DISTRIBUTION'!$A$4:$A$11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DISTRIBUTION'!$B$4:$B$11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10</xdr:row>
      <xdr:rowOff>114300</xdr:rowOff>
    </xdr:from>
    <xdr:to>
      <xdr:col>4</xdr:col>
      <xdr:colOff>1600200</xdr:colOff>
      <xdr:row>25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152400</xdr:rowOff>
    </xdr:from>
    <xdr:to>
      <xdr:col>13</xdr:col>
      <xdr:colOff>312420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9</xdr:row>
      <xdr:rowOff>129540</xdr:rowOff>
    </xdr:from>
    <xdr:to>
      <xdr:col>8</xdr:col>
      <xdr:colOff>487680</xdr:colOff>
      <xdr:row>24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582930</xdr:colOff>
      <xdr:row>1</xdr:row>
      <xdr:rowOff>167640</xdr:rowOff>
    </xdr:from>
    <xdr:to>
      <xdr:col>10</xdr:col>
      <xdr:colOff>278130</xdr:colOff>
      <xdr:row>16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152400</xdr:rowOff>
    </xdr:from>
    <xdr:to>
      <xdr:col>10</xdr:col>
      <xdr:colOff>320040</xdr:colOff>
      <xdr:row>15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omcebo Khanyile" refreshedDate="46174.982041087962" createdVersion="5" refreshedVersion="5" minRefreshableVersion="3" recordCount="1201">
  <cacheSource type="worksheet">
    <worksheetSource ref="D1:D1048576" sheet="MAIN DATASET"/>
  </cacheSource>
  <cacheFields count="1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omcebo Khanyile" refreshedDate="46176.979704513891" createdVersion="5" refreshedVersion="5" minRefreshableVersion="3" recordCount="1201">
  <cacheSource type="worksheet">
    <worksheetSource ref="H1:H1048576" sheet="MAIN DATASET"/>
  </cacheSource>
  <cacheFields count="1"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omcebo Khanyile" refreshedDate="46176.985231944447" createdVersion="5" refreshedVersion="5" minRefreshableVersion="3" recordCount="1201">
  <cacheSource type="worksheet">
    <worksheetSource ref="I1:I1048576" sheet="MAIN DATASET"/>
  </cacheSource>
  <cacheFields count="1"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omcebo Khanyile" refreshedDate="46176.993499305558" createdVersion="5" refreshedVersion="5" minRefreshableVersion="3" recordCount="1201">
  <cacheSource type="worksheet">
    <worksheetSource ref="L1:L1048576" sheet="MAIN DATASET"/>
  </cacheSource>
  <cacheFields count="1">
    <cacheField name="CouponCode" numFmtId="0">
      <sharedItems containsBlank="1" count="5">
        <s v="SAVE10"/>
        <s v="FREESHIP"/>
        <s v="No Coupon"/>
        <s v="WINTER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omcebo Khanyile" refreshedDate="46176.997321990741" createdVersion="5" refreshedVersion="5" minRefreshableVersion="3" recordCount="1201">
  <cacheSource type="worksheet">
    <worksheetSource ref="M1:M1048576" sheet="MAIN DATASET"/>
  </cacheSource>
  <cacheFields count="1"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Nomcebo Khanyile" refreshedDate="46178.939786111114" createdVersion="5" refreshedVersion="5" minRefreshableVersion="3" recordCount="1200">
  <cacheSource type="worksheet">
    <worksheetSource ref="A1:O1201" sheet="MAIN DATASET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Year " numFmtId="0">
      <sharedItems containsSemiMixedTypes="0" containsString="0" containsNumber="1" containsInteger="1" minValue="2023" maxValue="2025" count="3"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</r>
  <r>
    <x v="1"/>
  </r>
  <r>
    <x v="2"/>
  </r>
  <r>
    <x v="3"/>
  </r>
  <r>
    <x v="4"/>
  </r>
  <r>
    <x v="1"/>
  </r>
  <r>
    <x v="5"/>
  </r>
  <r>
    <x v="0"/>
  </r>
  <r>
    <x v="1"/>
  </r>
  <r>
    <x v="6"/>
  </r>
  <r>
    <x v="2"/>
  </r>
  <r>
    <x v="0"/>
  </r>
  <r>
    <x v="0"/>
  </r>
  <r>
    <x v="5"/>
  </r>
  <r>
    <x v="2"/>
  </r>
  <r>
    <x v="4"/>
  </r>
  <r>
    <x v="4"/>
  </r>
  <r>
    <x v="2"/>
  </r>
  <r>
    <x v="6"/>
  </r>
  <r>
    <x v="0"/>
  </r>
  <r>
    <x v="3"/>
  </r>
  <r>
    <x v="0"/>
  </r>
  <r>
    <x v="0"/>
  </r>
  <r>
    <x v="1"/>
  </r>
  <r>
    <x v="5"/>
  </r>
  <r>
    <x v="0"/>
  </r>
  <r>
    <x v="5"/>
  </r>
  <r>
    <x v="4"/>
  </r>
  <r>
    <x v="1"/>
  </r>
  <r>
    <x v="6"/>
  </r>
  <r>
    <x v="0"/>
  </r>
  <r>
    <x v="3"/>
  </r>
  <r>
    <x v="2"/>
  </r>
  <r>
    <x v="3"/>
  </r>
  <r>
    <x v="3"/>
  </r>
  <r>
    <x v="0"/>
  </r>
  <r>
    <x v="5"/>
  </r>
  <r>
    <x v="5"/>
  </r>
  <r>
    <x v="5"/>
  </r>
  <r>
    <x v="4"/>
  </r>
  <r>
    <x v="6"/>
  </r>
  <r>
    <x v="0"/>
  </r>
  <r>
    <x v="4"/>
  </r>
  <r>
    <x v="3"/>
  </r>
  <r>
    <x v="1"/>
  </r>
  <r>
    <x v="3"/>
  </r>
  <r>
    <x v="0"/>
  </r>
  <r>
    <x v="6"/>
  </r>
  <r>
    <x v="0"/>
  </r>
  <r>
    <x v="4"/>
  </r>
  <r>
    <x v="2"/>
  </r>
  <r>
    <x v="2"/>
  </r>
  <r>
    <x v="2"/>
  </r>
  <r>
    <x v="1"/>
  </r>
  <r>
    <x v="3"/>
  </r>
  <r>
    <x v="4"/>
  </r>
  <r>
    <x v="2"/>
  </r>
  <r>
    <x v="4"/>
  </r>
  <r>
    <x v="1"/>
  </r>
  <r>
    <x v="3"/>
  </r>
  <r>
    <x v="6"/>
  </r>
  <r>
    <x v="6"/>
  </r>
  <r>
    <x v="6"/>
  </r>
  <r>
    <x v="3"/>
  </r>
  <r>
    <x v="4"/>
  </r>
  <r>
    <x v="0"/>
  </r>
  <r>
    <x v="3"/>
  </r>
  <r>
    <x v="4"/>
  </r>
  <r>
    <x v="3"/>
  </r>
  <r>
    <x v="0"/>
  </r>
  <r>
    <x v="6"/>
  </r>
  <r>
    <x v="0"/>
  </r>
  <r>
    <x v="2"/>
  </r>
  <r>
    <x v="0"/>
  </r>
  <r>
    <x v="1"/>
  </r>
  <r>
    <x v="2"/>
  </r>
  <r>
    <x v="5"/>
  </r>
  <r>
    <x v="1"/>
  </r>
  <r>
    <x v="4"/>
  </r>
  <r>
    <x v="2"/>
  </r>
  <r>
    <x v="1"/>
  </r>
  <r>
    <x v="0"/>
  </r>
  <r>
    <x v="2"/>
  </r>
  <r>
    <x v="5"/>
  </r>
  <r>
    <x v="0"/>
  </r>
  <r>
    <x v="2"/>
  </r>
  <r>
    <x v="4"/>
  </r>
  <r>
    <x v="2"/>
  </r>
  <r>
    <x v="6"/>
  </r>
  <r>
    <x v="4"/>
  </r>
  <r>
    <x v="3"/>
  </r>
  <r>
    <x v="5"/>
  </r>
  <r>
    <x v="4"/>
  </r>
  <r>
    <x v="6"/>
  </r>
  <r>
    <x v="3"/>
  </r>
  <r>
    <x v="4"/>
  </r>
  <r>
    <x v="1"/>
  </r>
  <r>
    <x v="2"/>
  </r>
  <r>
    <x v="4"/>
  </r>
  <r>
    <x v="4"/>
  </r>
  <r>
    <x v="1"/>
  </r>
  <r>
    <x v="4"/>
  </r>
  <r>
    <x v="5"/>
  </r>
  <r>
    <x v="1"/>
  </r>
  <r>
    <x v="1"/>
  </r>
  <r>
    <x v="4"/>
  </r>
  <r>
    <x v="6"/>
  </r>
  <r>
    <x v="4"/>
  </r>
  <r>
    <x v="5"/>
  </r>
  <r>
    <x v="6"/>
  </r>
  <r>
    <x v="2"/>
  </r>
  <r>
    <x v="6"/>
  </r>
  <r>
    <x v="0"/>
  </r>
  <r>
    <x v="5"/>
  </r>
  <r>
    <x v="0"/>
  </r>
  <r>
    <x v="1"/>
  </r>
  <r>
    <x v="4"/>
  </r>
  <r>
    <x v="2"/>
  </r>
  <r>
    <x v="4"/>
  </r>
  <r>
    <x v="6"/>
  </r>
  <r>
    <x v="2"/>
  </r>
  <r>
    <x v="6"/>
  </r>
  <r>
    <x v="5"/>
  </r>
  <r>
    <x v="6"/>
  </r>
  <r>
    <x v="4"/>
  </r>
  <r>
    <x v="1"/>
  </r>
  <r>
    <x v="6"/>
  </r>
  <r>
    <x v="6"/>
  </r>
  <r>
    <x v="2"/>
  </r>
  <r>
    <x v="5"/>
  </r>
  <r>
    <x v="6"/>
  </r>
  <r>
    <x v="2"/>
  </r>
  <r>
    <x v="2"/>
  </r>
  <r>
    <x v="3"/>
  </r>
  <r>
    <x v="5"/>
  </r>
  <r>
    <x v="4"/>
  </r>
  <r>
    <x v="5"/>
  </r>
  <r>
    <x v="0"/>
  </r>
  <r>
    <x v="2"/>
  </r>
  <r>
    <x v="1"/>
  </r>
  <r>
    <x v="3"/>
  </r>
  <r>
    <x v="4"/>
  </r>
  <r>
    <x v="6"/>
  </r>
  <r>
    <x v="3"/>
  </r>
  <r>
    <x v="6"/>
  </r>
  <r>
    <x v="4"/>
  </r>
  <r>
    <x v="2"/>
  </r>
  <r>
    <x v="5"/>
  </r>
  <r>
    <x v="1"/>
  </r>
  <r>
    <x v="5"/>
  </r>
  <r>
    <x v="1"/>
  </r>
  <r>
    <x v="4"/>
  </r>
  <r>
    <x v="3"/>
  </r>
  <r>
    <x v="3"/>
  </r>
  <r>
    <x v="1"/>
  </r>
  <r>
    <x v="1"/>
  </r>
  <r>
    <x v="3"/>
  </r>
  <r>
    <x v="0"/>
  </r>
  <r>
    <x v="2"/>
  </r>
  <r>
    <x v="4"/>
  </r>
  <r>
    <x v="0"/>
  </r>
  <r>
    <x v="0"/>
  </r>
  <r>
    <x v="3"/>
  </r>
  <r>
    <x v="2"/>
  </r>
  <r>
    <x v="6"/>
  </r>
  <r>
    <x v="0"/>
  </r>
  <r>
    <x v="3"/>
  </r>
  <r>
    <x v="3"/>
  </r>
  <r>
    <x v="4"/>
  </r>
  <r>
    <x v="4"/>
  </r>
  <r>
    <x v="6"/>
  </r>
  <r>
    <x v="2"/>
  </r>
  <r>
    <x v="4"/>
  </r>
  <r>
    <x v="1"/>
  </r>
  <r>
    <x v="4"/>
  </r>
  <r>
    <x v="3"/>
  </r>
  <r>
    <x v="2"/>
  </r>
  <r>
    <x v="3"/>
  </r>
  <r>
    <x v="3"/>
  </r>
  <r>
    <x v="5"/>
  </r>
  <r>
    <x v="2"/>
  </r>
  <r>
    <x v="4"/>
  </r>
  <r>
    <x v="6"/>
  </r>
  <r>
    <x v="0"/>
  </r>
  <r>
    <x v="2"/>
  </r>
  <r>
    <x v="5"/>
  </r>
  <r>
    <x v="1"/>
  </r>
  <r>
    <x v="3"/>
  </r>
  <r>
    <x v="3"/>
  </r>
  <r>
    <x v="4"/>
  </r>
  <r>
    <x v="4"/>
  </r>
  <r>
    <x v="5"/>
  </r>
  <r>
    <x v="6"/>
  </r>
  <r>
    <x v="4"/>
  </r>
  <r>
    <x v="0"/>
  </r>
  <r>
    <x v="3"/>
  </r>
  <r>
    <x v="6"/>
  </r>
  <r>
    <x v="5"/>
  </r>
  <r>
    <x v="5"/>
  </r>
  <r>
    <x v="1"/>
  </r>
  <r>
    <x v="2"/>
  </r>
  <r>
    <x v="0"/>
  </r>
  <r>
    <x v="0"/>
  </r>
  <r>
    <x v="4"/>
  </r>
  <r>
    <x v="5"/>
  </r>
  <r>
    <x v="6"/>
  </r>
  <r>
    <x v="5"/>
  </r>
  <r>
    <x v="1"/>
  </r>
  <r>
    <x v="6"/>
  </r>
  <r>
    <x v="2"/>
  </r>
  <r>
    <x v="3"/>
  </r>
  <r>
    <x v="4"/>
  </r>
  <r>
    <x v="0"/>
  </r>
  <r>
    <x v="5"/>
  </r>
  <r>
    <x v="6"/>
  </r>
  <r>
    <x v="4"/>
  </r>
  <r>
    <x v="0"/>
  </r>
  <r>
    <x v="6"/>
  </r>
  <r>
    <x v="2"/>
  </r>
  <r>
    <x v="5"/>
  </r>
  <r>
    <x v="5"/>
  </r>
  <r>
    <x v="2"/>
  </r>
  <r>
    <x v="3"/>
  </r>
  <r>
    <x v="1"/>
  </r>
  <r>
    <x v="4"/>
  </r>
  <r>
    <x v="1"/>
  </r>
  <r>
    <x v="6"/>
  </r>
  <r>
    <x v="0"/>
  </r>
  <r>
    <x v="3"/>
  </r>
  <r>
    <x v="2"/>
  </r>
  <r>
    <x v="6"/>
  </r>
  <r>
    <x v="1"/>
  </r>
  <r>
    <x v="4"/>
  </r>
  <r>
    <x v="1"/>
  </r>
  <r>
    <x v="4"/>
  </r>
  <r>
    <x v="6"/>
  </r>
  <r>
    <x v="0"/>
  </r>
  <r>
    <x v="0"/>
  </r>
  <r>
    <x v="6"/>
  </r>
  <r>
    <x v="2"/>
  </r>
  <r>
    <x v="2"/>
  </r>
  <r>
    <x v="3"/>
  </r>
  <r>
    <x v="4"/>
  </r>
  <r>
    <x v="3"/>
  </r>
  <r>
    <x v="6"/>
  </r>
  <r>
    <x v="5"/>
  </r>
  <r>
    <x v="6"/>
  </r>
  <r>
    <x v="4"/>
  </r>
  <r>
    <x v="5"/>
  </r>
  <r>
    <x v="4"/>
  </r>
  <r>
    <x v="6"/>
  </r>
  <r>
    <x v="0"/>
  </r>
  <r>
    <x v="1"/>
  </r>
  <r>
    <x v="3"/>
  </r>
  <r>
    <x v="0"/>
  </r>
  <r>
    <x v="0"/>
  </r>
  <r>
    <x v="3"/>
  </r>
  <r>
    <x v="1"/>
  </r>
  <r>
    <x v="2"/>
  </r>
  <r>
    <x v="3"/>
  </r>
  <r>
    <x v="0"/>
  </r>
  <r>
    <x v="1"/>
  </r>
  <r>
    <x v="1"/>
  </r>
  <r>
    <x v="1"/>
  </r>
  <r>
    <x v="2"/>
  </r>
  <r>
    <x v="4"/>
  </r>
  <r>
    <x v="3"/>
  </r>
  <r>
    <x v="3"/>
  </r>
  <r>
    <x v="1"/>
  </r>
  <r>
    <x v="2"/>
  </r>
  <r>
    <x v="4"/>
  </r>
  <r>
    <x v="0"/>
  </r>
  <r>
    <x v="3"/>
  </r>
  <r>
    <x v="2"/>
  </r>
  <r>
    <x v="1"/>
  </r>
  <r>
    <x v="3"/>
  </r>
  <r>
    <x v="4"/>
  </r>
  <r>
    <x v="3"/>
  </r>
  <r>
    <x v="5"/>
  </r>
  <r>
    <x v="3"/>
  </r>
  <r>
    <x v="2"/>
  </r>
  <r>
    <x v="6"/>
  </r>
  <r>
    <x v="4"/>
  </r>
  <r>
    <x v="5"/>
  </r>
  <r>
    <x v="5"/>
  </r>
  <r>
    <x v="1"/>
  </r>
  <r>
    <x v="0"/>
  </r>
  <r>
    <x v="3"/>
  </r>
  <r>
    <x v="5"/>
  </r>
  <r>
    <x v="3"/>
  </r>
  <r>
    <x v="3"/>
  </r>
  <r>
    <x v="1"/>
  </r>
  <r>
    <x v="0"/>
  </r>
  <r>
    <x v="2"/>
  </r>
  <r>
    <x v="1"/>
  </r>
  <r>
    <x v="4"/>
  </r>
  <r>
    <x v="6"/>
  </r>
  <r>
    <x v="6"/>
  </r>
  <r>
    <x v="4"/>
  </r>
  <r>
    <x v="0"/>
  </r>
  <r>
    <x v="1"/>
  </r>
  <r>
    <x v="3"/>
  </r>
  <r>
    <x v="3"/>
  </r>
  <r>
    <x v="2"/>
  </r>
  <r>
    <x v="0"/>
  </r>
  <r>
    <x v="5"/>
  </r>
  <r>
    <x v="4"/>
  </r>
  <r>
    <x v="5"/>
  </r>
  <r>
    <x v="4"/>
  </r>
  <r>
    <x v="3"/>
  </r>
  <r>
    <x v="4"/>
  </r>
  <r>
    <x v="6"/>
  </r>
  <r>
    <x v="4"/>
  </r>
  <r>
    <x v="3"/>
  </r>
  <r>
    <x v="6"/>
  </r>
  <r>
    <x v="2"/>
  </r>
  <r>
    <x v="6"/>
  </r>
  <r>
    <x v="0"/>
  </r>
  <r>
    <x v="3"/>
  </r>
  <r>
    <x v="5"/>
  </r>
  <r>
    <x v="4"/>
  </r>
  <r>
    <x v="1"/>
  </r>
  <r>
    <x v="1"/>
  </r>
  <r>
    <x v="5"/>
  </r>
  <r>
    <x v="2"/>
  </r>
  <r>
    <x v="6"/>
  </r>
  <r>
    <x v="5"/>
  </r>
  <r>
    <x v="1"/>
  </r>
  <r>
    <x v="2"/>
  </r>
  <r>
    <x v="3"/>
  </r>
  <r>
    <x v="6"/>
  </r>
  <r>
    <x v="4"/>
  </r>
  <r>
    <x v="6"/>
  </r>
  <r>
    <x v="1"/>
  </r>
  <r>
    <x v="3"/>
  </r>
  <r>
    <x v="2"/>
  </r>
  <r>
    <x v="5"/>
  </r>
  <r>
    <x v="2"/>
  </r>
  <r>
    <x v="1"/>
  </r>
  <r>
    <x v="4"/>
  </r>
  <r>
    <x v="5"/>
  </r>
  <r>
    <x v="2"/>
  </r>
  <r>
    <x v="0"/>
  </r>
  <r>
    <x v="4"/>
  </r>
  <r>
    <x v="2"/>
  </r>
  <r>
    <x v="2"/>
  </r>
  <r>
    <x v="2"/>
  </r>
  <r>
    <x v="4"/>
  </r>
  <r>
    <x v="5"/>
  </r>
  <r>
    <x v="3"/>
  </r>
  <r>
    <x v="3"/>
  </r>
  <r>
    <x v="5"/>
  </r>
  <r>
    <x v="3"/>
  </r>
  <r>
    <x v="2"/>
  </r>
  <r>
    <x v="1"/>
  </r>
  <r>
    <x v="2"/>
  </r>
  <r>
    <x v="4"/>
  </r>
  <r>
    <x v="5"/>
  </r>
  <r>
    <x v="2"/>
  </r>
  <r>
    <x v="6"/>
  </r>
  <r>
    <x v="1"/>
  </r>
  <r>
    <x v="4"/>
  </r>
  <r>
    <x v="0"/>
  </r>
  <r>
    <x v="5"/>
  </r>
  <r>
    <x v="1"/>
  </r>
  <r>
    <x v="1"/>
  </r>
  <r>
    <x v="4"/>
  </r>
  <r>
    <x v="5"/>
  </r>
  <r>
    <x v="0"/>
  </r>
  <r>
    <x v="0"/>
  </r>
  <r>
    <x v="1"/>
  </r>
  <r>
    <x v="1"/>
  </r>
  <r>
    <x v="3"/>
  </r>
  <r>
    <x v="5"/>
  </r>
  <r>
    <x v="0"/>
  </r>
  <r>
    <x v="0"/>
  </r>
  <r>
    <x v="0"/>
  </r>
  <r>
    <x v="0"/>
  </r>
  <r>
    <x v="3"/>
  </r>
  <r>
    <x v="1"/>
  </r>
  <r>
    <x v="4"/>
  </r>
  <r>
    <x v="3"/>
  </r>
  <r>
    <x v="4"/>
  </r>
  <r>
    <x v="3"/>
  </r>
  <r>
    <x v="3"/>
  </r>
  <r>
    <x v="3"/>
  </r>
  <r>
    <x v="2"/>
  </r>
  <r>
    <x v="4"/>
  </r>
  <r>
    <x v="4"/>
  </r>
  <r>
    <x v="6"/>
  </r>
  <r>
    <x v="4"/>
  </r>
  <r>
    <x v="5"/>
  </r>
  <r>
    <x v="1"/>
  </r>
  <r>
    <x v="4"/>
  </r>
  <r>
    <x v="6"/>
  </r>
  <r>
    <x v="1"/>
  </r>
  <r>
    <x v="2"/>
  </r>
  <r>
    <x v="0"/>
  </r>
  <r>
    <x v="1"/>
  </r>
  <r>
    <x v="2"/>
  </r>
  <r>
    <x v="6"/>
  </r>
  <r>
    <x v="4"/>
  </r>
  <r>
    <x v="4"/>
  </r>
  <r>
    <x v="2"/>
  </r>
  <r>
    <x v="0"/>
  </r>
  <r>
    <x v="0"/>
  </r>
  <r>
    <x v="2"/>
  </r>
  <r>
    <x v="2"/>
  </r>
  <r>
    <x v="4"/>
  </r>
  <r>
    <x v="6"/>
  </r>
  <r>
    <x v="2"/>
  </r>
  <r>
    <x v="6"/>
  </r>
  <r>
    <x v="2"/>
  </r>
  <r>
    <x v="2"/>
  </r>
  <r>
    <x v="6"/>
  </r>
  <r>
    <x v="3"/>
  </r>
  <r>
    <x v="5"/>
  </r>
  <r>
    <x v="5"/>
  </r>
  <r>
    <x v="4"/>
  </r>
  <r>
    <x v="2"/>
  </r>
  <r>
    <x v="1"/>
  </r>
  <r>
    <x v="3"/>
  </r>
  <r>
    <x v="1"/>
  </r>
  <r>
    <x v="4"/>
  </r>
  <r>
    <x v="3"/>
  </r>
  <r>
    <x v="5"/>
  </r>
  <r>
    <x v="0"/>
  </r>
  <r>
    <x v="6"/>
  </r>
  <r>
    <x v="3"/>
  </r>
  <r>
    <x v="4"/>
  </r>
  <r>
    <x v="1"/>
  </r>
  <r>
    <x v="4"/>
  </r>
  <r>
    <x v="2"/>
  </r>
  <r>
    <x v="0"/>
  </r>
  <r>
    <x v="4"/>
  </r>
  <r>
    <x v="4"/>
  </r>
  <r>
    <x v="5"/>
  </r>
  <r>
    <x v="1"/>
  </r>
  <r>
    <x v="2"/>
  </r>
  <r>
    <x v="2"/>
  </r>
  <r>
    <x v="6"/>
  </r>
  <r>
    <x v="4"/>
  </r>
  <r>
    <x v="3"/>
  </r>
  <r>
    <x v="3"/>
  </r>
  <r>
    <x v="4"/>
  </r>
  <r>
    <x v="1"/>
  </r>
  <r>
    <x v="5"/>
  </r>
  <r>
    <x v="4"/>
  </r>
  <r>
    <x v="5"/>
  </r>
  <r>
    <x v="2"/>
  </r>
  <r>
    <x v="0"/>
  </r>
  <r>
    <x v="0"/>
  </r>
  <r>
    <x v="4"/>
  </r>
  <r>
    <x v="2"/>
  </r>
  <r>
    <x v="5"/>
  </r>
  <r>
    <x v="1"/>
  </r>
  <r>
    <x v="6"/>
  </r>
  <r>
    <x v="6"/>
  </r>
  <r>
    <x v="0"/>
  </r>
  <r>
    <x v="6"/>
  </r>
  <r>
    <x v="5"/>
  </r>
  <r>
    <x v="2"/>
  </r>
  <r>
    <x v="1"/>
  </r>
  <r>
    <x v="5"/>
  </r>
  <r>
    <x v="2"/>
  </r>
  <r>
    <x v="4"/>
  </r>
  <r>
    <x v="1"/>
  </r>
  <r>
    <x v="6"/>
  </r>
  <r>
    <x v="1"/>
  </r>
  <r>
    <x v="3"/>
  </r>
  <r>
    <x v="2"/>
  </r>
  <r>
    <x v="6"/>
  </r>
  <r>
    <x v="3"/>
  </r>
  <r>
    <x v="3"/>
  </r>
  <r>
    <x v="4"/>
  </r>
  <r>
    <x v="2"/>
  </r>
  <r>
    <x v="1"/>
  </r>
  <r>
    <x v="1"/>
  </r>
  <r>
    <x v="2"/>
  </r>
  <r>
    <x v="0"/>
  </r>
  <r>
    <x v="3"/>
  </r>
  <r>
    <x v="5"/>
  </r>
  <r>
    <x v="0"/>
  </r>
  <r>
    <x v="1"/>
  </r>
  <r>
    <x v="3"/>
  </r>
  <r>
    <x v="3"/>
  </r>
  <r>
    <x v="4"/>
  </r>
  <r>
    <x v="4"/>
  </r>
  <r>
    <x v="3"/>
  </r>
  <r>
    <x v="2"/>
  </r>
  <r>
    <x v="3"/>
  </r>
  <r>
    <x v="1"/>
  </r>
  <r>
    <x v="5"/>
  </r>
  <r>
    <x v="1"/>
  </r>
  <r>
    <x v="5"/>
  </r>
  <r>
    <x v="1"/>
  </r>
  <r>
    <x v="4"/>
  </r>
  <r>
    <x v="4"/>
  </r>
  <r>
    <x v="2"/>
  </r>
  <r>
    <x v="4"/>
  </r>
  <r>
    <x v="5"/>
  </r>
  <r>
    <x v="6"/>
  </r>
  <r>
    <x v="0"/>
  </r>
  <r>
    <x v="2"/>
  </r>
  <r>
    <x v="0"/>
  </r>
  <r>
    <x v="4"/>
  </r>
  <r>
    <x v="0"/>
  </r>
  <r>
    <x v="1"/>
  </r>
  <r>
    <x v="1"/>
  </r>
  <r>
    <x v="5"/>
  </r>
  <r>
    <x v="4"/>
  </r>
  <r>
    <x v="0"/>
  </r>
  <r>
    <x v="6"/>
  </r>
  <r>
    <x v="2"/>
  </r>
  <r>
    <x v="4"/>
  </r>
  <r>
    <x v="1"/>
  </r>
  <r>
    <x v="0"/>
  </r>
  <r>
    <x v="2"/>
  </r>
  <r>
    <x v="4"/>
  </r>
  <r>
    <x v="5"/>
  </r>
  <r>
    <x v="0"/>
  </r>
  <r>
    <x v="1"/>
  </r>
  <r>
    <x v="3"/>
  </r>
  <r>
    <x v="6"/>
  </r>
  <r>
    <x v="1"/>
  </r>
  <r>
    <x v="0"/>
  </r>
  <r>
    <x v="6"/>
  </r>
  <r>
    <x v="3"/>
  </r>
  <r>
    <x v="3"/>
  </r>
  <r>
    <x v="2"/>
  </r>
  <r>
    <x v="3"/>
  </r>
  <r>
    <x v="6"/>
  </r>
  <r>
    <x v="5"/>
  </r>
  <r>
    <x v="6"/>
  </r>
  <r>
    <x v="3"/>
  </r>
  <r>
    <x v="0"/>
  </r>
  <r>
    <x v="3"/>
  </r>
  <r>
    <x v="2"/>
  </r>
  <r>
    <x v="1"/>
  </r>
  <r>
    <x v="6"/>
  </r>
  <r>
    <x v="5"/>
  </r>
  <r>
    <x v="4"/>
  </r>
  <r>
    <x v="2"/>
  </r>
  <r>
    <x v="6"/>
  </r>
  <r>
    <x v="4"/>
  </r>
  <r>
    <x v="0"/>
  </r>
  <r>
    <x v="0"/>
  </r>
  <r>
    <x v="1"/>
  </r>
  <r>
    <x v="4"/>
  </r>
  <r>
    <x v="0"/>
  </r>
  <r>
    <x v="5"/>
  </r>
  <r>
    <x v="5"/>
  </r>
  <r>
    <x v="3"/>
  </r>
  <r>
    <x v="1"/>
  </r>
  <r>
    <x v="5"/>
  </r>
  <r>
    <x v="2"/>
  </r>
  <r>
    <x v="5"/>
  </r>
  <r>
    <x v="2"/>
  </r>
  <r>
    <x v="1"/>
  </r>
  <r>
    <x v="6"/>
  </r>
  <r>
    <x v="0"/>
  </r>
  <r>
    <x v="4"/>
  </r>
  <r>
    <x v="5"/>
  </r>
  <r>
    <x v="5"/>
  </r>
  <r>
    <x v="6"/>
  </r>
  <r>
    <x v="2"/>
  </r>
  <r>
    <x v="1"/>
  </r>
  <r>
    <x v="3"/>
  </r>
  <r>
    <x v="5"/>
  </r>
  <r>
    <x v="6"/>
  </r>
  <r>
    <x v="6"/>
  </r>
  <r>
    <x v="2"/>
  </r>
  <r>
    <x v="4"/>
  </r>
  <r>
    <x v="3"/>
  </r>
  <r>
    <x v="3"/>
  </r>
  <r>
    <x v="3"/>
  </r>
  <r>
    <x v="5"/>
  </r>
  <r>
    <x v="2"/>
  </r>
  <r>
    <x v="0"/>
  </r>
  <r>
    <x v="2"/>
  </r>
  <r>
    <x v="0"/>
  </r>
  <r>
    <x v="5"/>
  </r>
  <r>
    <x v="2"/>
  </r>
  <r>
    <x v="3"/>
  </r>
  <r>
    <x v="3"/>
  </r>
  <r>
    <x v="2"/>
  </r>
  <r>
    <x v="0"/>
  </r>
  <r>
    <x v="0"/>
  </r>
  <r>
    <x v="0"/>
  </r>
  <r>
    <x v="5"/>
  </r>
  <r>
    <x v="4"/>
  </r>
  <r>
    <x v="5"/>
  </r>
  <r>
    <x v="1"/>
  </r>
  <r>
    <x v="0"/>
  </r>
  <r>
    <x v="1"/>
  </r>
  <r>
    <x v="4"/>
  </r>
  <r>
    <x v="6"/>
  </r>
  <r>
    <x v="6"/>
  </r>
  <r>
    <x v="6"/>
  </r>
  <r>
    <x v="3"/>
  </r>
  <r>
    <x v="4"/>
  </r>
  <r>
    <x v="0"/>
  </r>
  <r>
    <x v="2"/>
  </r>
  <r>
    <x v="2"/>
  </r>
  <r>
    <x v="3"/>
  </r>
  <r>
    <x v="0"/>
  </r>
  <r>
    <x v="5"/>
  </r>
  <r>
    <x v="4"/>
  </r>
  <r>
    <x v="5"/>
  </r>
  <r>
    <x v="3"/>
  </r>
  <r>
    <x v="6"/>
  </r>
  <r>
    <x v="6"/>
  </r>
  <r>
    <x v="3"/>
  </r>
  <r>
    <x v="5"/>
  </r>
  <r>
    <x v="1"/>
  </r>
  <r>
    <x v="0"/>
  </r>
  <r>
    <x v="2"/>
  </r>
  <r>
    <x v="2"/>
  </r>
  <r>
    <x v="2"/>
  </r>
  <r>
    <x v="5"/>
  </r>
  <r>
    <x v="2"/>
  </r>
  <r>
    <x v="1"/>
  </r>
  <r>
    <x v="6"/>
  </r>
  <r>
    <x v="4"/>
  </r>
  <r>
    <x v="2"/>
  </r>
  <r>
    <x v="2"/>
  </r>
  <r>
    <x v="2"/>
  </r>
  <r>
    <x v="3"/>
  </r>
  <r>
    <x v="4"/>
  </r>
  <r>
    <x v="1"/>
  </r>
  <r>
    <x v="0"/>
  </r>
  <r>
    <x v="3"/>
  </r>
  <r>
    <x v="5"/>
  </r>
  <r>
    <x v="5"/>
  </r>
  <r>
    <x v="4"/>
  </r>
  <r>
    <x v="3"/>
  </r>
  <r>
    <x v="5"/>
  </r>
  <r>
    <x v="3"/>
  </r>
  <r>
    <x v="2"/>
  </r>
  <r>
    <x v="3"/>
  </r>
  <r>
    <x v="3"/>
  </r>
  <r>
    <x v="4"/>
  </r>
  <r>
    <x v="3"/>
  </r>
  <r>
    <x v="5"/>
  </r>
  <r>
    <x v="3"/>
  </r>
  <r>
    <x v="5"/>
  </r>
  <r>
    <x v="3"/>
  </r>
  <r>
    <x v="6"/>
  </r>
  <r>
    <x v="0"/>
  </r>
  <r>
    <x v="0"/>
  </r>
  <r>
    <x v="6"/>
  </r>
  <r>
    <x v="3"/>
  </r>
  <r>
    <x v="3"/>
  </r>
  <r>
    <x v="4"/>
  </r>
  <r>
    <x v="2"/>
  </r>
  <r>
    <x v="3"/>
  </r>
  <r>
    <x v="0"/>
  </r>
  <r>
    <x v="2"/>
  </r>
  <r>
    <x v="4"/>
  </r>
  <r>
    <x v="1"/>
  </r>
  <r>
    <x v="3"/>
  </r>
  <r>
    <x v="2"/>
  </r>
  <r>
    <x v="5"/>
  </r>
  <r>
    <x v="0"/>
  </r>
  <r>
    <x v="5"/>
  </r>
  <r>
    <x v="2"/>
  </r>
  <r>
    <x v="0"/>
  </r>
  <r>
    <x v="5"/>
  </r>
  <r>
    <x v="0"/>
  </r>
  <r>
    <x v="6"/>
  </r>
  <r>
    <x v="6"/>
  </r>
  <r>
    <x v="3"/>
  </r>
  <r>
    <x v="1"/>
  </r>
  <r>
    <x v="2"/>
  </r>
  <r>
    <x v="5"/>
  </r>
  <r>
    <x v="6"/>
  </r>
  <r>
    <x v="5"/>
  </r>
  <r>
    <x v="2"/>
  </r>
  <r>
    <x v="3"/>
  </r>
  <r>
    <x v="2"/>
  </r>
  <r>
    <x v="0"/>
  </r>
  <r>
    <x v="2"/>
  </r>
  <r>
    <x v="0"/>
  </r>
  <r>
    <x v="6"/>
  </r>
  <r>
    <x v="4"/>
  </r>
  <r>
    <x v="6"/>
  </r>
  <r>
    <x v="6"/>
  </r>
  <r>
    <x v="2"/>
  </r>
  <r>
    <x v="0"/>
  </r>
  <r>
    <x v="2"/>
  </r>
  <r>
    <x v="0"/>
  </r>
  <r>
    <x v="5"/>
  </r>
  <r>
    <x v="6"/>
  </r>
  <r>
    <x v="0"/>
  </r>
  <r>
    <x v="4"/>
  </r>
  <r>
    <x v="4"/>
  </r>
  <r>
    <x v="3"/>
  </r>
  <r>
    <x v="4"/>
  </r>
  <r>
    <x v="5"/>
  </r>
  <r>
    <x v="5"/>
  </r>
  <r>
    <x v="5"/>
  </r>
  <r>
    <x v="0"/>
  </r>
  <r>
    <x v="4"/>
  </r>
  <r>
    <x v="6"/>
  </r>
  <r>
    <x v="6"/>
  </r>
  <r>
    <x v="0"/>
  </r>
  <r>
    <x v="6"/>
  </r>
  <r>
    <x v="3"/>
  </r>
  <r>
    <x v="4"/>
  </r>
  <r>
    <x v="6"/>
  </r>
  <r>
    <x v="5"/>
  </r>
  <r>
    <x v="2"/>
  </r>
  <r>
    <x v="2"/>
  </r>
  <r>
    <x v="2"/>
  </r>
  <r>
    <x v="5"/>
  </r>
  <r>
    <x v="4"/>
  </r>
  <r>
    <x v="3"/>
  </r>
  <r>
    <x v="3"/>
  </r>
  <r>
    <x v="5"/>
  </r>
  <r>
    <x v="5"/>
  </r>
  <r>
    <x v="6"/>
  </r>
  <r>
    <x v="6"/>
  </r>
  <r>
    <x v="4"/>
  </r>
  <r>
    <x v="6"/>
  </r>
  <r>
    <x v="4"/>
  </r>
  <r>
    <x v="3"/>
  </r>
  <r>
    <x v="5"/>
  </r>
  <r>
    <x v="3"/>
  </r>
  <r>
    <x v="6"/>
  </r>
  <r>
    <x v="1"/>
  </r>
  <r>
    <x v="1"/>
  </r>
  <r>
    <x v="4"/>
  </r>
  <r>
    <x v="5"/>
  </r>
  <r>
    <x v="2"/>
  </r>
  <r>
    <x v="4"/>
  </r>
  <r>
    <x v="0"/>
  </r>
  <r>
    <x v="0"/>
  </r>
  <r>
    <x v="1"/>
  </r>
  <r>
    <x v="1"/>
  </r>
  <r>
    <x v="1"/>
  </r>
  <r>
    <x v="6"/>
  </r>
  <r>
    <x v="0"/>
  </r>
  <r>
    <x v="5"/>
  </r>
  <r>
    <x v="0"/>
  </r>
  <r>
    <x v="2"/>
  </r>
  <r>
    <x v="4"/>
  </r>
  <r>
    <x v="6"/>
  </r>
  <r>
    <x v="2"/>
  </r>
  <r>
    <x v="2"/>
  </r>
  <r>
    <x v="5"/>
  </r>
  <r>
    <x v="2"/>
  </r>
  <r>
    <x v="2"/>
  </r>
  <r>
    <x v="1"/>
  </r>
  <r>
    <x v="1"/>
  </r>
  <r>
    <x v="4"/>
  </r>
  <r>
    <x v="6"/>
  </r>
  <r>
    <x v="1"/>
  </r>
  <r>
    <x v="6"/>
  </r>
  <r>
    <x v="2"/>
  </r>
  <r>
    <x v="6"/>
  </r>
  <r>
    <x v="6"/>
  </r>
  <r>
    <x v="6"/>
  </r>
  <r>
    <x v="1"/>
  </r>
  <r>
    <x v="5"/>
  </r>
  <r>
    <x v="5"/>
  </r>
  <r>
    <x v="5"/>
  </r>
  <r>
    <x v="4"/>
  </r>
  <r>
    <x v="2"/>
  </r>
  <r>
    <x v="2"/>
  </r>
  <r>
    <x v="4"/>
  </r>
  <r>
    <x v="6"/>
  </r>
  <r>
    <x v="1"/>
  </r>
  <r>
    <x v="0"/>
  </r>
  <r>
    <x v="1"/>
  </r>
  <r>
    <x v="3"/>
  </r>
  <r>
    <x v="1"/>
  </r>
  <r>
    <x v="2"/>
  </r>
  <r>
    <x v="3"/>
  </r>
  <r>
    <x v="5"/>
  </r>
  <r>
    <x v="1"/>
  </r>
  <r>
    <x v="5"/>
  </r>
  <r>
    <x v="1"/>
  </r>
  <r>
    <x v="0"/>
  </r>
  <r>
    <x v="4"/>
  </r>
  <r>
    <x v="5"/>
  </r>
  <r>
    <x v="3"/>
  </r>
  <r>
    <x v="3"/>
  </r>
  <r>
    <x v="6"/>
  </r>
  <r>
    <x v="3"/>
  </r>
  <r>
    <x v="2"/>
  </r>
  <r>
    <x v="5"/>
  </r>
  <r>
    <x v="3"/>
  </r>
  <r>
    <x v="6"/>
  </r>
  <r>
    <x v="3"/>
  </r>
  <r>
    <x v="4"/>
  </r>
  <r>
    <x v="5"/>
  </r>
  <r>
    <x v="1"/>
  </r>
  <r>
    <x v="5"/>
  </r>
  <r>
    <x v="1"/>
  </r>
  <r>
    <x v="5"/>
  </r>
  <r>
    <x v="2"/>
  </r>
  <r>
    <x v="4"/>
  </r>
  <r>
    <x v="3"/>
  </r>
  <r>
    <x v="0"/>
  </r>
  <r>
    <x v="3"/>
  </r>
  <r>
    <x v="5"/>
  </r>
  <r>
    <x v="3"/>
  </r>
  <r>
    <x v="0"/>
  </r>
  <r>
    <x v="6"/>
  </r>
  <r>
    <x v="6"/>
  </r>
  <r>
    <x v="2"/>
  </r>
  <r>
    <x v="5"/>
  </r>
  <r>
    <x v="1"/>
  </r>
  <r>
    <x v="5"/>
  </r>
  <r>
    <x v="3"/>
  </r>
  <r>
    <x v="4"/>
  </r>
  <r>
    <x v="2"/>
  </r>
  <r>
    <x v="3"/>
  </r>
  <r>
    <x v="1"/>
  </r>
  <r>
    <x v="1"/>
  </r>
  <r>
    <x v="1"/>
  </r>
  <r>
    <x v="5"/>
  </r>
  <r>
    <x v="1"/>
  </r>
  <r>
    <x v="5"/>
  </r>
  <r>
    <x v="0"/>
  </r>
  <r>
    <x v="6"/>
  </r>
  <r>
    <x v="4"/>
  </r>
  <r>
    <x v="2"/>
  </r>
  <r>
    <x v="3"/>
  </r>
  <r>
    <x v="0"/>
  </r>
  <r>
    <x v="2"/>
  </r>
  <r>
    <x v="4"/>
  </r>
  <r>
    <x v="3"/>
  </r>
  <r>
    <x v="1"/>
  </r>
  <r>
    <x v="4"/>
  </r>
  <r>
    <x v="6"/>
  </r>
  <r>
    <x v="1"/>
  </r>
  <r>
    <x v="3"/>
  </r>
  <r>
    <x v="6"/>
  </r>
  <r>
    <x v="3"/>
  </r>
  <r>
    <x v="3"/>
  </r>
  <r>
    <x v="4"/>
  </r>
  <r>
    <x v="5"/>
  </r>
  <r>
    <x v="6"/>
  </r>
  <r>
    <x v="3"/>
  </r>
  <r>
    <x v="1"/>
  </r>
  <r>
    <x v="6"/>
  </r>
  <r>
    <x v="4"/>
  </r>
  <r>
    <x v="3"/>
  </r>
  <r>
    <x v="4"/>
  </r>
  <r>
    <x v="0"/>
  </r>
  <r>
    <x v="5"/>
  </r>
  <r>
    <x v="6"/>
  </r>
  <r>
    <x v="4"/>
  </r>
  <r>
    <x v="5"/>
  </r>
  <r>
    <x v="0"/>
  </r>
  <r>
    <x v="1"/>
  </r>
  <r>
    <x v="1"/>
  </r>
  <r>
    <x v="2"/>
  </r>
  <r>
    <x v="3"/>
  </r>
  <r>
    <x v="4"/>
  </r>
  <r>
    <x v="6"/>
  </r>
  <r>
    <x v="6"/>
  </r>
  <r>
    <x v="1"/>
  </r>
  <r>
    <x v="6"/>
  </r>
  <r>
    <x v="0"/>
  </r>
  <r>
    <x v="6"/>
  </r>
  <r>
    <x v="4"/>
  </r>
  <r>
    <x v="0"/>
  </r>
  <r>
    <x v="6"/>
  </r>
  <r>
    <x v="1"/>
  </r>
  <r>
    <x v="2"/>
  </r>
  <r>
    <x v="3"/>
  </r>
  <r>
    <x v="6"/>
  </r>
  <r>
    <x v="3"/>
  </r>
  <r>
    <x v="5"/>
  </r>
  <r>
    <x v="3"/>
  </r>
  <r>
    <x v="2"/>
  </r>
  <r>
    <x v="6"/>
  </r>
  <r>
    <x v="1"/>
  </r>
  <r>
    <x v="5"/>
  </r>
  <r>
    <x v="2"/>
  </r>
  <r>
    <x v="1"/>
  </r>
  <r>
    <x v="4"/>
  </r>
  <r>
    <x v="3"/>
  </r>
  <r>
    <x v="5"/>
  </r>
  <r>
    <x v="1"/>
  </r>
  <r>
    <x v="3"/>
  </r>
  <r>
    <x v="5"/>
  </r>
  <r>
    <x v="0"/>
  </r>
  <r>
    <x v="5"/>
  </r>
  <r>
    <x v="0"/>
  </r>
  <r>
    <x v="6"/>
  </r>
  <r>
    <x v="0"/>
  </r>
  <r>
    <x v="2"/>
  </r>
  <r>
    <x v="3"/>
  </r>
  <r>
    <x v="6"/>
  </r>
  <r>
    <x v="5"/>
  </r>
  <r>
    <x v="0"/>
  </r>
  <r>
    <x v="4"/>
  </r>
  <r>
    <x v="5"/>
  </r>
  <r>
    <x v="2"/>
  </r>
  <r>
    <x v="0"/>
  </r>
  <r>
    <x v="0"/>
  </r>
  <r>
    <x v="0"/>
  </r>
  <r>
    <x v="5"/>
  </r>
  <r>
    <x v="0"/>
  </r>
  <r>
    <x v="6"/>
  </r>
  <r>
    <x v="6"/>
  </r>
  <r>
    <x v="2"/>
  </r>
  <r>
    <x v="4"/>
  </r>
  <r>
    <x v="6"/>
  </r>
  <r>
    <x v="6"/>
  </r>
  <r>
    <x v="4"/>
  </r>
  <r>
    <x v="6"/>
  </r>
  <r>
    <x v="5"/>
  </r>
  <r>
    <x v="4"/>
  </r>
  <r>
    <x v="5"/>
  </r>
  <r>
    <x v="5"/>
  </r>
  <r>
    <x v="4"/>
  </r>
  <r>
    <x v="2"/>
  </r>
  <r>
    <x v="2"/>
  </r>
  <r>
    <x v="6"/>
  </r>
  <r>
    <x v="4"/>
  </r>
  <r>
    <x v="4"/>
  </r>
  <r>
    <x v="0"/>
  </r>
  <r>
    <x v="6"/>
  </r>
  <r>
    <x v="5"/>
  </r>
  <r>
    <x v="5"/>
  </r>
  <r>
    <x v="2"/>
  </r>
  <r>
    <x v="1"/>
  </r>
  <r>
    <x v="4"/>
  </r>
  <r>
    <x v="5"/>
  </r>
  <r>
    <x v="0"/>
  </r>
  <r>
    <x v="5"/>
  </r>
  <r>
    <x v="1"/>
  </r>
  <r>
    <x v="3"/>
  </r>
  <r>
    <x v="3"/>
  </r>
  <r>
    <x v="3"/>
  </r>
  <r>
    <x v="5"/>
  </r>
  <r>
    <x v="4"/>
  </r>
  <r>
    <x v="4"/>
  </r>
  <r>
    <x v="2"/>
  </r>
  <r>
    <x v="0"/>
  </r>
  <r>
    <x v="5"/>
  </r>
  <r>
    <x v="2"/>
  </r>
  <r>
    <x v="1"/>
  </r>
  <r>
    <x v="1"/>
  </r>
  <r>
    <x v="1"/>
  </r>
  <r>
    <x v="6"/>
  </r>
  <r>
    <x v="5"/>
  </r>
  <r>
    <x v="4"/>
  </r>
  <r>
    <x v="0"/>
  </r>
  <r>
    <x v="1"/>
  </r>
  <r>
    <x v="3"/>
  </r>
  <r>
    <x v="3"/>
  </r>
  <r>
    <x v="1"/>
  </r>
  <r>
    <x v="0"/>
  </r>
  <r>
    <x v="6"/>
  </r>
  <r>
    <x v="2"/>
  </r>
  <r>
    <x v="5"/>
  </r>
  <r>
    <x v="1"/>
  </r>
  <r>
    <x v="1"/>
  </r>
  <r>
    <x v="3"/>
  </r>
  <r>
    <x v="1"/>
  </r>
  <r>
    <x v="5"/>
  </r>
  <r>
    <x v="0"/>
  </r>
  <r>
    <x v="2"/>
  </r>
  <r>
    <x v="0"/>
  </r>
  <r>
    <x v="6"/>
  </r>
  <r>
    <x v="6"/>
  </r>
  <r>
    <x v="0"/>
  </r>
  <r>
    <x v="5"/>
  </r>
  <r>
    <x v="6"/>
  </r>
  <r>
    <x v="6"/>
  </r>
  <r>
    <x v="6"/>
  </r>
  <r>
    <x v="2"/>
  </r>
  <r>
    <x v="3"/>
  </r>
  <r>
    <x v="4"/>
  </r>
  <r>
    <x v="0"/>
  </r>
  <r>
    <x v="3"/>
  </r>
  <r>
    <x v="1"/>
  </r>
  <r>
    <x v="0"/>
  </r>
  <r>
    <x v="0"/>
  </r>
  <r>
    <x v="6"/>
  </r>
  <r>
    <x v="6"/>
  </r>
  <r>
    <x v="5"/>
  </r>
  <r>
    <x v="1"/>
  </r>
  <r>
    <x v="6"/>
  </r>
  <r>
    <x v="5"/>
  </r>
  <r>
    <x v="1"/>
  </r>
  <r>
    <x v="6"/>
  </r>
  <r>
    <x v="4"/>
  </r>
  <r>
    <x v="0"/>
  </r>
  <r>
    <x v="2"/>
  </r>
  <r>
    <x v="0"/>
  </r>
  <r>
    <x v="0"/>
  </r>
  <r>
    <x v="5"/>
  </r>
  <r>
    <x v="1"/>
  </r>
  <r>
    <x v="4"/>
  </r>
  <r>
    <x v="4"/>
  </r>
  <r>
    <x v="4"/>
  </r>
  <r>
    <x v="2"/>
  </r>
  <r>
    <x v="4"/>
  </r>
  <r>
    <x v="3"/>
  </r>
  <r>
    <x v="4"/>
  </r>
  <r>
    <x v="2"/>
  </r>
  <r>
    <x v="0"/>
  </r>
  <r>
    <x v="0"/>
  </r>
  <r>
    <x v="2"/>
  </r>
  <r>
    <x v="0"/>
  </r>
  <r>
    <x v="1"/>
  </r>
  <r>
    <x v="4"/>
  </r>
  <r>
    <x v="5"/>
  </r>
  <r>
    <x v="2"/>
  </r>
  <r>
    <x v="4"/>
  </r>
  <r>
    <x v="2"/>
  </r>
  <r>
    <x v="3"/>
  </r>
  <r>
    <x v="5"/>
  </r>
  <r>
    <x v="6"/>
  </r>
  <r>
    <x v="2"/>
  </r>
  <r>
    <x v="1"/>
  </r>
  <r>
    <x v="2"/>
  </r>
  <r>
    <x v="5"/>
  </r>
  <r>
    <x v="3"/>
  </r>
  <r>
    <x v="3"/>
  </r>
  <r>
    <x v="0"/>
  </r>
  <r>
    <x v="5"/>
  </r>
  <r>
    <x v="6"/>
  </r>
  <r>
    <x v="6"/>
  </r>
  <r>
    <x v="1"/>
  </r>
  <r>
    <x v="1"/>
  </r>
  <r>
    <x v="3"/>
  </r>
  <r>
    <x v="0"/>
  </r>
  <r>
    <x v="4"/>
  </r>
  <r>
    <x v="5"/>
  </r>
  <r>
    <x v="1"/>
  </r>
  <r>
    <x v="4"/>
  </r>
  <r>
    <x v="2"/>
  </r>
  <r>
    <x v="6"/>
  </r>
  <r>
    <x v="2"/>
  </r>
  <r>
    <x v="0"/>
  </r>
  <r>
    <x v="2"/>
  </r>
  <r>
    <x v="2"/>
  </r>
  <r>
    <x v="4"/>
  </r>
  <r>
    <x v="5"/>
  </r>
  <r>
    <x v="2"/>
  </r>
  <r>
    <x v="3"/>
  </r>
  <r>
    <x v="0"/>
  </r>
  <r>
    <x v="6"/>
  </r>
  <r>
    <x v="5"/>
  </r>
  <r>
    <x v="0"/>
  </r>
  <r>
    <x v="2"/>
  </r>
  <r>
    <x v="1"/>
  </r>
  <r>
    <x v="4"/>
  </r>
  <r>
    <x v="0"/>
  </r>
  <r>
    <x v="1"/>
  </r>
  <r>
    <x v="5"/>
  </r>
  <r>
    <x v="6"/>
  </r>
  <r>
    <x v="6"/>
  </r>
  <r>
    <x v="2"/>
  </r>
  <r>
    <x v="5"/>
  </r>
  <r>
    <x v="3"/>
  </r>
  <r>
    <x v="6"/>
  </r>
  <r>
    <x v="5"/>
  </r>
  <r>
    <x v="4"/>
  </r>
  <r>
    <x v="6"/>
  </r>
  <r>
    <x v="1"/>
  </r>
  <r>
    <x v="5"/>
  </r>
  <r>
    <x v="0"/>
  </r>
  <r>
    <x v="6"/>
  </r>
  <r>
    <x v="1"/>
  </r>
  <r>
    <x v="0"/>
  </r>
  <r>
    <x v="2"/>
  </r>
  <r>
    <x v="1"/>
  </r>
  <r>
    <x v="0"/>
  </r>
  <r>
    <x v="5"/>
  </r>
  <r>
    <x v="4"/>
  </r>
  <r>
    <x v="6"/>
  </r>
  <r>
    <x v="1"/>
  </r>
  <r>
    <x v="5"/>
  </r>
  <r>
    <x v="0"/>
  </r>
  <r>
    <x v="3"/>
  </r>
  <r>
    <x v="3"/>
  </r>
  <r>
    <x v="1"/>
  </r>
  <r>
    <x v="4"/>
  </r>
  <r>
    <x v="2"/>
  </r>
  <r>
    <x v="5"/>
  </r>
  <r>
    <x v="6"/>
  </r>
  <r>
    <x v="2"/>
  </r>
  <r>
    <x v="0"/>
  </r>
  <r>
    <x v="5"/>
  </r>
  <r>
    <x v="5"/>
  </r>
  <r>
    <x v="1"/>
  </r>
  <r>
    <x v="4"/>
  </r>
  <r>
    <x v="1"/>
  </r>
  <r>
    <x v="2"/>
  </r>
  <r>
    <x v="0"/>
  </r>
  <r>
    <x v="0"/>
  </r>
  <r>
    <x v="5"/>
  </r>
  <r>
    <x v="5"/>
  </r>
  <r>
    <x v="0"/>
  </r>
  <r>
    <x v="3"/>
  </r>
  <r>
    <x v="5"/>
  </r>
  <r>
    <x v="2"/>
  </r>
  <r>
    <x v="2"/>
  </r>
  <r>
    <x v="3"/>
  </r>
  <r>
    <x v="2"/>
  </r>
  <r>
    <x v="5"/>
  </r>
  <r>
    <x v="4"/>
  </r>
  <r>
    <x v="3"/>
  </r>
  <r>
    <x v="0"/>
  </r>
  <r>
    <x v="6"/>
  </r>
  <r>
    <x v="6"/>
  </r>
  <r>
    <x v="2"/>
  </r>
  <r>
    <x v="5"/>
  </r>
  <r>
    <x v="4"/>
  </r>
  <r>
    <x v="3"/>
  </r>
  <r>
    <x v="1"/>
  </r>
  <r>
    <x v="5"/>
  </r>
  <r>
    <x v="2"/>
  </r>
  <r>
    <x v="1"/>
  </r>
  <r>
    <x v="0"/>
  </r>
  <r>
    <x v="2"/>
  </r>
  <r>
    <x v="3"/>
  </r>
  <r>
    <x v="6"/>
  </r>
  <r>
    <x v="1"/>
  </r>
  <r>
    <x v="4"/>
  </r>
  <r>
    <x v="0"/>
  </r>
  <r>
    <x v="3"/>
  </r>
  <r>
    <x v="5"/>
  </r>
  <r>
    <x v="1"/>
  </r>
  <r>
    <x v="3"/>
  </r>
  <r>
    <x v="4"/>
  </r>
  <r>
    <x v="6"/>
  </r>
  <r>
    <x v="4"/>
  </r>
  <r>
    <x v="2"/>
  </r>
  <r>
    <x v="4"/>
  </r>
  <r>
    <x v="6"/>
  </r>
  <r>
    <x v="3"/>
  </r>
  <r>
    <x v="4"/>
  </r>
  <r>
    <x v="3"/>
  </r>
  <r>
    <x v="1"/>
  </r>
  <r>
    <x v="3"/>
  </r>
  <r>
    <x v="6"/>
  </r>
  <r>
    <x v="6"/>
  </r>
  <r>
    <x v="0"/>
  </r>
  <r>
    <x v="3"/>
  </r>
  <r>
    <x v="1"/>
  </r>
  <r>
    <x v="3"/>
  </r>
  <r>
    <x v="6"/>
  </r>
  <r>
    <x v="3"/>
  </r>
  <r>
    <x v="2"/>
  </r>
  <r>
    <x v="0"/>
  </r>
  <r>
    <x v="0"/>
  </r>
  <r>
    <x v="4"/>
  </r>
  <r>
    <x v="5"/>
  </r>
  <r>
    <x v="0"/>
  </r>
  <r>
    <x v="0"/>
  </r>
  <r>
    <x v="6"/>
  </r>
  <r>
    <x v="6"/>
  </r>
  <r>
    <x v="1"/>
  </r>
  <r>
    <x v="1"/>
  </r>
  <r>
    <x v="5"/>
  </r>
  <r>
    <x v="2"/>
  </r>
  <r>
    <x v="3"/>
  </r>
  <r>
    <x v="3"/>
  </r>
  <r>
    <x v="4"/>
  </r>
  <r>
    <x v="5"/>
  </r>
  <r>
    <x v="3"/>
  </r>
  <r>
    <x v="4"/>
  </r>
  <r>
    <x v="1"/>
  </r>
  <r>
    <x v="6"/>
  </r>
  <r>
    <x v="0"/>
  </r>
  <r>
    <x v="4"/>
  </r>
  <r>
    <x v="4"/>
  </r>
  <r>
    <x v="2"/>
  </r>
  <r>
    <x v="4"/>
  </r>
  <r>
    <x v="0"/>
  </r>
  <r>
    <x v="5"/>
  </r>
  <r>
    <x v="3"/>
  </r>
  <r>
    <x v="6"/>
  </r>
  <r>
    <x v="3"/>
  </r>
  <r>
    <x v="6"/>
  </r>
  <r>
    <x v="5"/>
  </r>
  <r>
    <x v="3"/>
  </r>
  <r>
    <x v="0"/>
  </r>
  <r>
    <x v="6"/>
  </r>
  <r>
    <x v="4"/>
  </r>
  <r>
    <x v="2"/>
  </r>
  <r>
    <x v="6"/>
  </r>
  <r>
    <x v="6"/>
  </r>
  <r>
    <x v="3"/>
  </r>
  <r>
    <x v="2"/>
  </r>
  <r>
    <x v="4"/>
  </r>
  <r>
    <x v="6"/>
  </r>
  <r>
    <x v="0"/>
  </r>
  <r>
    <x v="2"/>
  </r>
  <r>
    <x v="3"/>
  </r>
  <r>
    <x v="2"/>
  </r>
  <r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1">
  <r>
    <x v="0"/>
  </r>
  <r>
    <x v="1"/>
  </r>
  <r>
    <x v="2"/>
  </r>
  <r>
    <x v="0"/>
  </r>
  <r>
    <x v="1"/>
  </r>
  <r>
    <x v="2"/>
  </r>
  <r>
    <x v="3"/>
  </r>
  <r>
    <x v="4"/>
  </r>
  <r>
    <x v="3"/>
  </r>
  <r>
    <x v="2"/>
  </r>
  <r>
    <x v="2"/>
  </r>
  <r>
    <x v="1"/>
  </r>
  <r>
    <x v="0"/>
  </r>
  <r>
    <x v="2"/>
  </r>
  <r>
    <x v="0"/>
  </r>
  <r>
    <x v="4"/>
  </r>
  <r>
    <x v="2"/>
  </r>
  <r>
    <x v="0"/>
  </r>
  <r>
    <x v="3"/>
  </r>
  <r>
    <x v="4"/>
  </r>
  <r>
    <x v="4"/>
  </r>
  <r>
    <x v="4"/>
  </r>
  <r>
    <x v="1"/>
  </r>
  <r>
    <x v="0"/>
  </r>
  <r>
    <x v="1"/>
  </r>
  <r>
    <x v="0"/>
  </r>
  <r>
    <x v="1"/>
  </r>
  <r>
    <x v="1"/>
  </r>
  <r>
    <x v="1"/>
  </r>
  <r>
    <x v="2"/>
  </r>
  <r>
    <x v="1"/>
  </r>
  <r>
    <x v="0"/>
  </r>
  <r>
    <x v="4"/>
  </r>
  <r>
    <x v="1"/>
  </r>
  <r>
    <x v="2"/>
  </r>
  <r>
    <x v="1"/>
  </r>
  <r>
    <x v="0"/>
  </r>
  <r>
    <x v="4"/>
  </r>
  <r>
    <x v="0"/>
  </r>
  <r>
    <x v="2"/>
  </r>
  <r>
    <x v="1"/>
  </r>
  <r>
    <x v="3"/>
  </r>
  <r>
    <x v="4"/>
  </r>
  <r>
    <x v="1"/>
  </r>
  <r>
    <x v="3"/>
  </r>
  <r>
    <x v="0"/>
  </r>
  <r>
    <x v="0"/>
  </r>
  <r>
    <x v="2"/>
  </r>
  <r>
    <x v="0"/>
  </r>
  <r>
    <x v="2"/>
  </r>
  <r>
    <x v="1"/>
  </r>
  <r>
    <x v="4"/>
  </r>
  <r>
    <x v="1"/>
  </r>
  <r>
    <x v="1"/>
  </r>
  <r>
    <x v="1"/>
  </r>
  <r>
    <x v="1"/>
  </r>
  <r>
    <x v="4"/>
  </r>
  <r>
    <x v="4"/>
  </r>
  <r>
    <x v="3"/>
  </r>
  <r>
    <x v="1"/>
  </r>
  <r>
    <x v="0"/>
  </r>
  <r>
    <x v="4"/>
  </r>
  <r>
    <x v="0"/>
  </r>
  <r>
    <x v="0"/>
  </r>
  <r>
    <x v="0"/>
  </r>
  <r>
    <x v="2"/>
  </r>
  <r>
    <x v="4"/>
  </r>
  <r>
    <x v="0"/>
  </r>
  <r>
    <x v="2"/>
  </r>
  <r>
    <x v="1"/>
  </r>
  <r>
    <x v="3"/>
  </r>
  <r>
    <x v="2"/>
  </r>
  <r>
    <x v="3"/>
  </r>
  <r>
    <x v="3"/>
  </r>
  <r>
    <x v="4"/>
  </r>
  <r>
    <x v="0"/>
  </r>
  <r>
    <x v="4"/>
  </r>
  <r>
    <x v="2"/>
  </r>
  <r>
    <x v="0"/>
  </r>
  <r>
    <x v="1"/>
  </r>
  <r>
    <x v="1"/>
  </r>
  <r>
    <x v="4"/>
  </r>
  <r>
    <x v="0"/>
  </r>
  <r>
    <x v="2"/>
  </r>
  <r>
    <x v="1"/>
  </r>
  <r>
    <x v="4"/>
  </r>
  <r>
    <x v="1"/>
  </r>
  <r>
    <x v="4"/>
  </r>
  <r>
    <x v="3"/>
  </r>
  <r>
    <x v="2"/>
  </r>
  <r>
    <x v="3"/>
  </r>
  <r>
    <x v="4"/>
  </r>
  <r>
    <x v="1"/>
  </r>
  <r>
    <x v="2"/>
  </r>
  <r>
    <x v="3"/>
  </r>
  <r>
    <x v="0"/>
  </r>
  <r>
    <x v="3"/>
  </r>
  <r>
    <x v="0"/>
  </r>
  <r>
    <x v="0"/>
  </r>
  <r>
    <x v="0"/>
  </r>
  <r>
    <x v="1"/>
  </r>
  <r>
    <x v="4"/>
  </r>
  <r>
    <x v="3"/>
  </r>
  <r>
    <x v="2"/>
  </r>
  <r>
    <x v="3"/>
  </r>
  <r>
    <x v="3"/>
  </r>
  <r>
    <x v="2"/>
  </r>
  <r>
    <x v="3"/>
  </r>
  <r>
    <x v="3"/>
  </r>
  <r>
    <x v="3"/>
  </r>
  <r>
    <x v="3"/>
  </r>
  <r>
    <x v="1"/>
  </r>
  <r>
    <x v="1"/>
  </r>
  <r>
    <x v="4"/>
  </r>
  <r>
    <x v="1"/>
  </r>
  <r>
    <x v="1"/>
  </r>
  <r>
    <x v="2"/>
  </r>
  <r>
    <x v="3"/>
  </r>
  <r>
    <x v="3"/>
  </r>
  <r>
    <x v="0"/>
  </r>
  <r>
    <x v="4"/>
  </r>
  <r>
    <x v="4"/>
  </r>
  <r>
    <x v="3"/>
  </r>
  <r>
    <x v="1"/>
  </r>
  <r>
    <x v="1"/>
  </r>
  <r>
    <x v="2"/>
  </r>
  <r>
    <x v="3"/>
  </r>
  <r>
    <x v="0"/>
  </r>
  <r>
    <x v="3"/>
  </r>
  <r>
    <x v="0"/>
  </r>
  <r>
    <x v="1"/>
  </r>
  <r>
    <x v="3"/>
  </r>
  <r>
    <x v="2"/>
  </r>
  <r>
    <x v="0"/>
  </r>
  <r>
    <x v="4"/>
  </r>
  <r>
    <x v="3"/>
  </r>
  <r>
    <x v="3"/>
  </r>
  <r>
    <x v="2"/>
  </r>
  <r>
    <x v="0"/>
  </r>
  <r>
    <x v="4"/>
  </r>
  <r>
    <x v="1"/>
  </r>
  <r>
    <x v="4"/>
  </r>
  <r>
    <x v="4"/>
  </r>
  <r>
    <x v="1"/>
  </r>
  <r>
    <x v="2"/>
  </r>
  <r>
    <x v="2"/>
  </r>
  <r>
    <x v="2"/>
  </r>
  <r>
    <x v="2"/>
  </r>
  <r>
    <x v="2"/>
  </r>
  <r>
    <x v="0"/>
  </r>
  <r>
    <x v="0"/>
  </r>
  <r>
    <x v="0"/>
  </r>
  <r>
    <x v="4"/>
  </r>
  <r>
    <x v="1"/>
  </r>
  <r>
    <x v="2"/>
  </r>
  <r>
    <x v="1"/>
  </r>
  <r>
    <x v="1"/>
  </r>
  <r>
    <x v="1"/>
  </r>
  <r>
    <x v="2"/>
  </r>
  <r>
    <x v="2"/>
  </r>
  <r>
    <x v="4"/>
  </r>
  <r>
    <x v="2"/>
  </r>
  <r>
    <x v="1"/>
  </r>
  <r>
    <x v="1"/>
  </r>
  <r>
    <x v="3"/>
  </r>
  <r>
    <x v="1"/>
  </r>
  <r>
    <x v="4"/>
  </r>
  <r>
    <x v="1"/>
  </r>
  <r>
    <x v="4"/>
  </r>
  <r>
    <x v="1"/>
  </r>
  <r>
    <x v="4"/>
  </r>
  <r>
    <x v="2"/>
  </r>
  <r>
    <x v="1"/>
  </r>
  <r>
    <x v="1"/>
  </r>
  <r>
    <x v="0"/>
  </r>
  <r>
    <x v="0"/>
  </r>
  <r>
    <x v="3"/>
  </r>
  <r>
    <x v="2"/>
  </r>
  <r>
    <x v="1"/>
  </r>
  <r>
    <x v="2"/>
  </r>
  <r>
    <x v="4"/>
  </r>
  <r>
    <x v="1"/>
  </r>
  <r>
    <x v="0"/>
  </r>
  <r>
    <x v="0"/>
  </r>
  <r>
    <x v="3"/>
  </r>
  <r>
    <x v="1"/>
  </r>
  <r>
    <x v="4"/>
  </r>
  <r>
    <x v="3"/>
  </r>
  <r>
    <x v="3"/>
  </r>
  <r>
    <x v="3"/>
  </r>
  <r>
    <x v="4"/>
  </r>
  <r>
    <x v="1"/>
  </r>
  <r>
    <x v="3"/>
  </r>
  <r>
    <x v="4"/>
  </r>
  <r>
    <x v="4"/>
  </r>
  <r>
    <x v="0"/>
  </r>
  <r>
    <x v="4"/>
  </r>
  <r>
    <x v="4"/>
  </r>
  <r>
    <x v="4"/>
  </r>
  <r>
    <x v="1"/>
  </r>
  <r>
    <x v="2"/>
  </r>
  <r>
    <x v="1"/>
  </r>
  <r>
    <x v="2"/>
  </r>
  <r>
    <x v="1"/>
  </r>
  <r>
    <x v="3"/>
  </r>
  <r>
    <x v="0"/>
  </r>
  <r>
    <x v="3"/>
  </r>
  <r>
    <x v="0"/>
  </r>
  <r>
    <x v="1"/>
  </r>
  <r>
    <x v="4"/>
  </r>
  <r>
    <x v="3"/>
  </r>
  <r>
    <x v="3"/>
  </r>
  <r>
    <x v="2"/>
  </r>
  <r>
    <x v="4"/>
  </r>
  <r>
    <x v="1"/>
  </r>
  <r>
    <x v="4"/>
  </r>
  <r>
    <x v="1"/>
  </r>
  <r>
    <x v="4"/>
  </r>
  <r>
    <x v="3"/>
  </r>
  <r>
    <x v="4"/>
  </r>
  <r>
    <x v="2"/>
  </r>
  <r>
    <x v="0"/>
  </r>
  <r>
    <x v="1"/>
  </r>
  <r>
    <x v="2"/>
  </r>
  <r>
    <x v="4"/>
  </r>
  <r>
    <x v="0"/>
  </r>
  <r>
    <x v="3"/>
  </r>
  <r>
    <x v="1"/>
  </r>
  <r>
    <x v="2"/>
  </r>
  <r>
    <x v="2"/>
  </r>
  <r>
    <x v="3"/>
  </r>
  <r>
    <x v="3"/>
  </r>
  <r>
    <x v="0"/>
  </r>
  <r>
    <x v="4"/>
  </r>
  <r>
    <x v="0"/>
  </r>
  <r>
    <x v="4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3"/>
  </r>
  <r>
    <x v="3"/>
  </r>
  <r>
    <x v="4"/>
  </r>
  <r>
    <x v="4"/>
  </r>
  <r>
    <x v="3"/>
  </r>
  <r>
    <x v="4"/>
  </r>
  <r>
    <x v="3"/>
  </r>
  <r>
    <x v="3"/>
  </r>
  <r>
    <x v="1"/>
  </r>
  <r>
    <x v="3"/>
  </r>
  <r>
    <x v="3"/>
  </r>
  <r>
    <x v="2"/>
  </r>
  <r>
    <x v="1"/>
  </r>
  <r>
    <x v="2"/>
  </r>
  <r>
    <x v="0"/>
  </r>
  <r>
    <x v="3"/>
  </r>
  <r>
    <x v="2"/>
  </r>
  <r>
    <x v="2"/>
  </r>
  <r>
    <x v="4"/>
  </r>
  <r>
    <x v="0"/>
  </r>
  <r>
    <x v="2"/>
  </r>
  <r>
    <x v="0"/>
  </r>
  <r>
    <x v="0"/>
  </r>
  <r>
    <x v="2"/>
  </r>
  <r>
    <x v="0"/>
  </r>
  <r>
    <x v="4"/>
  </r>
  <r>
    <x v="1"/>
  </r>
  <r>
    <x v="1"/>
  </r>
  <r>
    <x v="3"/>
  </r>
  <r>
    <x v="2"/>
  </r>
  <r>
    <x v="0"/>
  </r>
  <r>
    <x v="2"/>
  </r>
  <r>
    <x v="4"/>
  </r>
  <r>
    <x v="1"/>
  </r>
  <r>
    <x v="3"/>
  </r>
  <r>
    <x v="4"/>
  </r>
  <r>
    <x v="3"/>
  </r>
  <r>
    <x v="4"/>
  </r>
  <r>
    <x v="2"/>
  </r>
  <r>
    <x v="1"/>
  </r>
  <r>
    <x v="3"/>
  </r>
  <r>
    <x v="1"/>
  </r>
  <r>
    <x v="0"/>
  </r>
  <r>
    <x v="2"/>
  </r>
  <r>
    <x v="4"/>
  </r>
  <r>
    <x v="2"/>
  </r>
  <r>
    <x v="2"/>
  </r>
  <r>
    <x v="3"/>
  </r>
  <r>
    <x v="1"/>
  </r>
  <r>
    <x v="0"/>
  </r>
  <r>
    <x v="0"/>
  </r>
  <r>
    <x v="2"/>
  </r>
  <r>
    <x v="1"/>
  </r>
  <r>
    <x v="3"/>
  </r>
  <r>
    <x v="0"/>
  </r>
  <r>
    <x v="4"/>
  </r>
  <r>
    <x v="4"/>
  </r>
  <r>
    <x v="0"/>
  </r>
  <r>
    <x v="3"/>
  </r>
  <r>
    <x v="4"/>
  </r>
  <r>
    <x v="0"/>
  </r>
  <r>
    <x v="1"/>
  </r>
  <r>
    <x v="0"/>
  </r>
  <r>
    <x v="0"/>
  </r>
  <r>
    <x v="1"/>
  </r>
  <r>
    <x v="1"/>
  </r>
  <r>
    <x v="3"/>
  </r>
  <r>
    <x v="4"/>
  </r>
  <r>
    <x v="1"/>
  </r>
  <r>
    <x v="1"/>
  </r>
  <r>
    <x v="3"/>
  </r>
  <r>
    <x v="1"/>
  </r>
  <r>
    <x v="0"/>
  </r>
  <r>
    <x v="4"/>
  </r>
  <r>
    <x v="2"/>
  </r>
  <r>
    <x v="0"/>
  </r>
  <r>
    <x v="0"/>
  </r>
  <r>
    <x v="0"/>
  </r>
  <r>
    <x v="0"/>
  </r>
  <r>
    <x v="2"/>
  </r>
  <r>
    <x v="3"/>
  </r>
  <r>
    <x v="3"/>
  </r>
  <r>
    <x v="1"/>
  </r>
  <r>
    <x v="2"/>
  </r>
  <r>
    <x v="3"/>
  </r>
  <r>
    <x v="1"/>
  </r>
  <r>
    <x v="0"/>
  </r>
  <r>
    <x v="2"/>
  </r>
  <r>
    <x v="1"/>
  </r>
  <r>
    <x v="3"/>
  </r>
  <r>
    <x v="0"/>
  </r>
  <r>
    <x v="0"/>
  </r>
  <r>
    <x v="0"/>
  </r>
  <r>
    <x v="1"/>
  </r>
  <r>
    <x v="4"/>
  </r>
  <r>
    <x v="3"/>
  </r>
  <r>
    <x v="3"/>
  </r>
  <r>
    <x v="0"/>
  </r>
  <r>
    <x v="1"/>
  </r>
  <r>
    <x v="3"/>
  </r>
  <r>
    <x v="4"/>
  </r>
  <r>
    <x v="2"/>
  </r>
  <r>
    <x v="0"/>
  </r>
  <r>
    <x v="3"/>
  </r>
  <r>
    <x v="1"/>
  </r>
  <r>
    <x v="0"/>
  </r>
  <r>
    <x v="0"/>
  </r>
  <r>
    <x v="1"/>
  </r>
  <r>
    <x v="0"/>
  </r>
  <r>
    <x v="2"/>
  </r>
  <r>
    <x v="3"/>
  </r>
  <r>
    <x v="0"/>
  </r>
  <r>
    <x v="1"/>
  </r>
  <r>
    <x v="0"/>
  </r>
  <r>
    <x v="4"/>
  </r>
  <r>
    <x v="2"/>
  </r>
  <r>
    <x v="4"/>
  </r>
  <r>
    <x v="2"/>
  </r>
  <r>
    <x v="4"/>
  </r>
  <r>
    <x v="2"/>
  </r>
  <r>
    <x v="0"/>
  </r>
  <r>
    <x v="3"/>
  </r>
  <r>
    <x v="2"/>
  </r>
  <r>
    <x v="3"/>
  </r>
  <r>
    <x v="1"/>
  </r>
  <r>
    <x v="3"/>
  </r>
  <r>
    <x v="4"/>
  </r>
  <r>
    <x v="4"/>
  </r>
  <r>
    <x v="3"/>
  </r>
  <r>
    <x v="1"/>
  </r>
  <r>
    <x v="0"/>
  </r>
  <r>
    <x v="1"/>
  </r>
  <r>
    <x v="2"/>
  </r>
  <r>
    <x v="1"/>
  </r>
  <r>
    <x v="4"/>
  </r>
  <r>
    <x v="2"/>
  </r>
  <r>
    <x v="0"/>
  </r>
  <r>
    <x v="2"/>
  </r>
  <r>
    <x v="2"/>
  </r>
  <r>
    <x v="3"/>
  </r>
  <r>
    <x v="1"/>
  </r>
  <r>
    <x v="2"/>
  </r>
  <r>
    <x v="4"/>
  </r>
  <r>
    <x v="4"/>
  </r>
  <r>
    <x v="4"/>
  </r>
  <r>
    <x v="0"/>
  </r>
  <r>
    <x v="1"/>
  </r>
  <r>
    <x v="2"/>
  </r>
  <r>
    <x v="3"/>
  </r>
  <r>
    <x v="3"/>
  </r>
  <r>
    <x v="1"/>
  </r>
  <r>
    <x v="1"/>
  </r>
  <r>
    <x v="3"/>
  </r>
  <r>
    <x v="0"/>
  </r>
  <r>
    <x v="0"/>
  </r>
  <r>
    <x v="0"/>
  </r>
  <r>
    <x v="3"/>
  </r>
  <r>
    <x v="1"/>
  </r>
  <r>
    <x v="4"/>
  </r>
  <r>
    <x v="1"/>
  </r>
  <r>
    <x v="4"/>
  </r>
  <r>
    <x v="4"/>
  </r>
  <r>
    <x v="1"/>
  </r>
  <r>
    <x v="1"/>
  </r>
  <r>
    <x v="0"/>
  </r>
  <r>
    <x v="1"/>
  </r>
  <r>
    <x v="2"/>
  </r>
  <r>
    <x v="1"/>
  </r>
  <r>
    <x v="4"/>
  </r>
  <r>
    <x v="3"/>
  </r>
  <r>
    <x v="3"/>
  </r>
  <r>
    <x v="1"/>
  </r>
  <r>
    <x v="1"/>
  </r>
  <r>
    <x v="0"/>
  </r>
  <r>
    <x v="0"/>
  </r>
  <r>
    <x v="0"/>
  </r>
  <r>
    <x v="3"/>
  </r>
  <r>
    <x v="3"/>
  </r>
  <r>
    <x v="4"/>
  </r>
  <r>
    <x v="3"/>
  </r>
  <r>
    <x v="4"/>
  </r>
  <r>
    <x v="2"/>
  </r>
  <r>
    <x v="1"/>
  </r>
  <r>
    <x v="2"/>
  </r>
  <r>
    <x v="3"/>
  </r>
  <r>
    <x v="0"/>
  </r>
  <r>
    <x v="2"/>
  </r>
  <r>
    <x v="2"/>
  </r>
  <r>
    <x v="2"/>
  </r>
  <r>
    <x v="0"/>
  </r>
  <r>
    <x v="1"/>
  </r>
  <r>
    <x v="1"/>
  </r>
  <r>
    <x v="3"/>
  </r>
  <r>
    <x v="1"/>
  </r>
  <r>
    <x v="0"/>
  </r>
  <r>
    <x v="3"/>
  </r>
  <r>
    <x v="4"/>
  </r>
  <r>
    <x v="4"/>
  </r>
  <r>
    <x v="1"/>
  </r>
  <r>
    <x v="4"/>
  </r>
  <r>
    <x v="1"/>
  </r>
  <r>
    <x v="4"/>
  </r>
  <r>
    <x v="4"/>
  </r>
  <r>
    <x v="1"/>
  </r>
  <r>
    <x v="3"/>
  </r>
  <r>
    <x v="0"/>
  </r>
  <r>
    <x v="4"/>
  </r>
  <r>
    <x v="4"/>
  </r>
  <r>
    <x v="0"/>
  </r>
  <r>
    <x v="0"/>
  </r>
  <r>
    <x v="2"/>
  </r>
  <r>
    <x v="1"/>
  </r>
  <r>
    <x v="2"/>
  </r>
  <r>
    <x v="2"/>
  </r>
  <r>
    <x v="4"/>
  </r>
  <r>
    <x v="2"/>
  </r>
  <r>
    <x v="1"/>
  </r>
  <r>
    <x v="0"/>
  </r>
  <r>
    <x v="1"/>
  </r>
  <r>
    <x v="3"/>
  </r>
  <r>
    <x v="4"/>
  </r>
  <r>
    <x v="4"/>
  </r>
  <r>
    <x v="2"/>
  </r>
  <r>
    <x v="4"/>
  </r>
  <r>
    <x v="4"/>
  </r>
  <r>
    <x v="1"/>
  </r>
  <r>
    <x v="2"/>
  </r>
  <r>
    <x v="1"/>
  </r>
  <r>
    <x v="2"/>
  </r>
  <r>
    <x v="4"/>
  </r>
  <r>
    <x v="1"/>
  </r>
  <r>
    <x v="1"/>
  </r>
  <r>
    <x v="3"/>
  </r>
  <r>
    <x v="2"/>
  </r>
  <r>
    <x v="0"/>
  </r>
  <r>
    <x v="0"/>
  </r>
  <r>
    <x v="1"/>
  </r>
  <r>
    <x v="4"/>
  </r>
  <r>
    <x v="4"/>
  </r>
  <r>
    <x v="4"/>
  </r>
  <r>
    <x v="4"/>
  </r>
  <r>
    <x v="2"/>
  </r>
  <r>
    <x v="1"/>
  </r>
  <r>
    <x v="3"/>
  </r>
  <r>
    <x v="1"/>
  </r>
  <r>
    <x v="4"/>
  </r>
  <r>
    <x v="0"/>
  </r>
  <r>
    <x v="2"/>
  </r>
  <r>
    <x v="0"/>
  </r>
  <r>
    <x v="0"/>
  </r>
  <r>
    <x v="1"/>
  </r>
  <r>
    <x v="3"/>
  </r>
  <r>
    <x v="4"/>
  </r>
  <r>
    <x v="2"/>
  </r>
  <r>
    <x v="4"/>
  </r>
  <r>
    <x v="2"/>
  </r>
  <r>
    <x v="0"/>
  </r>
  <r>
    <x v="1"/>
  </r>
  <r>
    <x v="1"/>
  </r>
  <r>
    <x v="1"/>
  </r>
  <r>
    <x v="4"/>
  </r>
  <r>
    <x v="2"/>
  </r>
  <r>
    <x v="1"/>
  </r>
  <r>
    <x v="4"/>
  </r>
  <r>
    <x v="0"/>
  </r>
  <r>
    <x v="4"/>
  </r>
  <r>
    <x v="1"/>
  </r>
  <r>
    <x v="3"/>
  </r>
  <r>
    <x v="3"/>
  </r>
  <r>
    <x v="3"/>
  </r>
  <r>
    <x v="4"/>
  </r>
  <r>
    <x v="4"/>
  </r>
  <r>
    <x v="1"/>
  </r>
  <r>
    <x v="0"/>
  </r>
  <r>
    <x v="4"/>
  </r>
  <r>
    <x v="2"/>
  </r>
  <r>
    <x v="3"/>
  </r>
  <r>
    <x v="2"/>
  </r>
  <r>
    <x v="2"/>
  </r>
  <r>
    <x v="0"/>
  </r>
  <r>
    <x v="4"/>
  </r>
  <r>
    <x v="2"/>
  </r>
  <r>
    <x v="2"/>
  </r>
  <r>
    <x v="4"/>
  </r>
  <r>
    <x v="1"/>
  </r>
  <r>
    <x v="3"/>
  </r>
  <r>
    <x v="1"/>
  </r>
  <r>
    <x v="3"/>
  </r>
  <r>
    <x v="0"/>
  </r>
  <r>
    <x v="1"/>
  </r>
  <r>
    <x v="4"/>
  </r>
  <r>
    <x v="1"/>
  </r>
  <r>
    <x v="4"/>
  </r>
  <r>
    <x v="3"/>
  </r>
  <r>
    <x v="1"/>
  </r>
  <r>
    <x v="4"/>
  </r>
  <r>
    <x v="4"/>
  </r>
  <r>
    <x v="4"/>
  </r>
  <r>
    <x v="2"/>
  </r>
  <r>
    <x v="4"/>
  </r>
  <r>
    <x v="2"/>
  </r>
  <r>
    <x v="1"/>
  </r>
  <r>
    <x v="1"/>
  </r>
  <r>
    <x v="0"/>
  </r>
  <r>
    <x v="4"/>
  </r>
  <r>
    <x v="0"/>
  </r>
  <r>
    <x v="1"/>
  </r>
  <r>
    <x v="3"/>
  </r>
  <r>
    <x v="4"/>
  </r>
  <r>
    <x v="4"/>
  </r>
  <r>
    <x v="3"/>
  </r>
  <r>
    <x v="0"/>
  </r>
  <r>
    <x v="1"/>
  </r>
  <r>
    <x v="0"/>
  </r>
  <r>
    <x v="3"/>
  </r>
  <r>
    <x v="1"/>
  </r>
  <r>
    <x v="3"/>
  </r>
  <r>
    <x v="0"/>
  </r>
  <r>
    <x v="2"/>
  </r>
  <r>
    <x v="1"/>
  </r>
  <r>
    <x v="4"/>
  </r>
  <r>
    <x v="4"/>
  </r>
  <r>
    <x v="1"/>
  </r>
  <r>
    <x v="4"/>
  </r>
  <r>
    <x v="0"/>
  </r>
  <r>
    <x v="3"/>
  </r>
  <r>
    <x v="4"/>
  </r>
  <r>
    <x v="0"/>
  </r>
  <r>
    <x v="2"/>
  </r>
  <r>
    <x v="3"/>
  </r>
  <r>
    <x v="4"/>
  </r>
  <r>
    <x v="1"/>
  </r>
  <r>
    <x v="2"/>
  </r>
  <r>
    <x v="1"/>
  </r>
  <r>
    <x v="2"/>
  </r>
  <r>
    <x v="1"/>
  </r>
  <r>
    <x v="3"/>
  </r>
  <r>
    <x v="3"/>
  </r>
  <r>
    <x v="1"/>
  </r>
  <r>
    <x v="4"/>
  </r>
  <r>
    <x v="3"/>
  </r>
  <r>
    <x v="3"/>
  </r>
  <r>
    <x v="2"/>
  </r>
  <r>
    <x v="4"/>
  </r>
  <r>
    <x v="3"/>
  </r>
  <r>
    <x v="3"/>
  </r>
  <r>
    <x v="1"/>
  </r>
  <r>
    <x v="3"/>
  </r>
  <r>
    <x v="2"/>
  </r>
  <r>
    <x v="1"/>
  </r>
  <r>
    <x v="0"/>
  </r>
  <r>
    <x v="3"/>
  </r>
  <r>
    <x v="2"/>
  </r>
  <r>
    <x v="1"/>
  </r>
  <r>
    <x v="3"/>
  </r>
  <r>
    <x v="2"/>
  </r>
  <r>
    <x v="1"/>
  </r>
  <r>
    <x v="4"/>
  </r>
  <r>
    <x v="0"/>
  </r>
  <r>
    <x v="0"/>
  </r>
  <r>
    <x v="4"/>
  </r>
  <r>
    <x v="4"/>
  </r>
  <r>
    <x v="1"/>
  </r>
  <r>
    <x v="4"/>
  </r>
  <r>
    <x v="4"/>
  </r>
  <r>
    <x v="3"/>
  </r>
  <r>
    <x v="3"/>
  </r>
  <r>
    <x v="1"/>
  </r>
  <r>
    <x v="3"/>
  </r>
  <r>
    <x v="2"/>
  </r>
  <r>
    <x v="2"/>
  </r>
  <r>
    <x v="1"/>
  </r>
  <r>
    <x v="0"/>
  </r>
  <r>
    <x v="3"/>
  </r>
  <r>
    <x v="0"/>
  </r>
  <r>
    <x v="2"/>
  </r>
  <r>
    <x v="2"/>
  </r>
  <r>
    <x v="3"/>
  </r>
  <r>
    <x v="0"/>
  </r>
  <r>
    <x v="2"/>
  </r>
  <r>
    <x v="1"/>
  </r>
  <r>
    <x v="1"/>
  </r>
  <r>
    <x v="4"/>
  </r>
  <r>
    <x v="1"/>
  </r>
  <r>
    <x v="0"/>
  </r>
  <r>
    <x v="3"/>
  </r>
  <r>
    <x v="3"/>
  </r>
  <r>
    <x v="3"/>
  </r>
  <r>
    <x v="3"/>
  </r>
  <r>
    <x v="4"/>
  </r>
  <r>
    <x v="4"/>
  </r>
  <r>
    <x v="3"/>
  </r>
  <r>
    <x v="1"/>
  </r>
  <r>
    <x v="4"/>
  </r>
  <r>
    <x v="3"/>
  </r>
  <r>
    <x v="0"/>
  </r>
  <r>
    <x v="2"/>
  </r>
  <r>
    <x v="4"/>
  </r>
  <r>
    <x v="4"/>
  </r>
  <r>
    <x v="2"/>
  </r>
  <r>
    <x v="0"/>
  </r>
  <r>
    <x v="4"/>
  </r>
  <r>
    <x v="1"/>
  </r>
  <r>
    <x v="0"/>
  </r>
  <r>
    <x v="3"/>
  </r>
  <r>
    <x v="0"/>
  </r>
  <r>
    <x v="1"/>
  </r>
  <r>
    <x v="2"/>
  </r>
  <r>
    <x v="0"/>
  </r>
  <r>
    <x v="0"/>
  </r>
  <r>
    <x v="3"/>
  </r>
  <r>
    <x v="4"/>
  </r>
  <r>
    <x v="3"/>
  </r>
  <r>
    <x v="3"/>
  </r>
  <r>
    <x v="0"/>
  </r>
  <r>
    <x v="0"/>
  </r>
  <r>
    <x v="4"/>
  </r>
  <r>
    <x v="0"/>
  </r>
  <r>
    <x v="4"/>
  </r>
  <r>
    <x v="1"/>
  </r>
  <r>
    <x v="2"/>
  </r>
  <r>
    <x v="3"/>
  </r>
  <r>
    <x v="4"/>
  </r>
  <r>
    <x v="0"/>
  </r>
  <r>
    <x v="2"/>
  </r>
  <r>
    <x v="3"/>
  </r>
  <r>
    <x v="0"/>
  </r>
  <r>
    <x v="2"/>
  </r>
  <r>
    <x v="3"/>
  </r>
  <r>
    <x v="0"/>
  </r>
  <r>
    <x v="2"/>
  </r>
  <r>
    <x v="1"/>
  </r>
  <r>
    <x v="3"/>
  </r>
  <r>
    <x v="1"/>
  </r>
  <r>
    <x v="2"/>
  </r>
  <r>
    <x v="0"/>
  </r>
  <r>
    <x v="2"/>
  </r>
  <r>
    <x v="4"/>
  </r>
  <r>
    <x v="2"/>
  </r>
  <r>
    <x v="0"/>
  </r>
  <r>
    <x v="4"/>
  </r>
  <r>
    <x v="3"/>
  </r>
  <r>
    <x v="2"/>
  </r>
  <r>
    <x v="1"/>
  </r>
  <r>
    <x v="3"/>
  </r>
  <r>
    <x v="4"/>
  </r>
  <r>
    <x v="2"/>
  </r>
  <r>
    <x v="0"/>
  </r>
  <r>
    <x v="4"/>
  </r>
  <r>
    <x v="1"/>
  </r>
  <r>
    <x v="3"/>
  </r>
  <r>
    <x v="4"/>
  </r>
  <r>
    <x v="4"/>
  </r>
  <r>
    <x v="3"/>
  </r>
  <r>
    <x v="4"/>
  </r>
  <r>
    <x v="2"/>
  </r>
  <r>
    <x v="0"/>
  </r>
  <r>
    <x v="4"/>
  </r>
  <r>
    <x v="1"/>
  </r>
  <r>
    <x v="0"/>
  </r>
  <r>
    <x v="3"/>
  </r>
  <r>
    <x v="3"/>
  </r>
  <r>
    <x v="4"/>
  </r>
  <r>
    <x v="1"/>
  </r>
  <r>
    <x v="3"/>
  </r>
  <r>
    <x v="1"/>
  </r>
  <r>
    <x v="3"/>
  </r>
  <r>
    <x v="1"/>
  </r>
  <r>
    <x v="0"/>
  </r>
  <r>
    <x v="1"/>
  </r>
  <r>
    <x v="2"/>
  </r>
  <r>
    <x v="1"/>
  </r>
  <r>
    <x v="3"/>
  </r>
  <r>
    <x v="0"/>
  </r>
  <r>
    <x v="4"/>
  </r>
  <r>
    <x v="2"/>
  </r>
  <r>
    <x v="3"/>
  </r>
  <r>
    <x v="4"/>
  </r>
  <r>
    <x v="2"/>
  </r>
  <r>
    <x v="3"/>
  </r>
  <r>
    <x v="1"/>
  </r>
  <r>
    <x v="1"/>
  </r>
  <r>
    <x v="3"/>
  </r>
  <r>
    <x v="3"/>
  </r>
  <r>
    <x v="0"/>
  </r>
  <r>
    <x v="2"/>
  </r>
  <r>
    <x v="1"/>
  </r>
  <r>
    <x v="4"/>
  </r>
  <r>
    <x v="2"/>
  </r>
  <r>
    <x v="0"/>
  </r>
  <r>
    <x v="2"/>
  </r>
  <r>
    <x v="4"/>
  </r>
  <r>
    <x v="2"/>
  </r>
  <r>
    <x v="4"/>
  </r>
  <r>
    <x v="4"/>
  </r>
  <r>
    <x v="3"/>
  </r>
  <r>
    <x v="4"/>
  </r>
  <r>
    <x v="3"/>
  </r>
  <r>
    <x v="4"/>
  </r>
  <r>
    <x v="0"/>
  </r>
  <r>
    <x v="1"/>
  </r>
  <r>
    <x v="0"/>
  </r>
  <r>
    <x v="2"/>
  </r>
  <r>
    <x v="0"/>
  </r>
  <r>
    <x v="2"/>
  </r>
  <r>
    <x v="3"/>
  </r>
  <r>
    <x v="2"/>
  </r>
  <r>
    <x v="0"/>
  </r>
  <r>
    <x v="2"/>
  </r>
  <r>
    <x v="2"/>
  </r>
  <r>
    <x v="3"/>
  </r>
  <r>
    <x v="0"/>
  </r>
  <r>
    <x v="2"/>
  </r>
  <r>
    <x v="4"/>
  </r>
  <r>
    <x v="0"/>
  </r>
  <r>
    <x v="0"/>
  </r>
  <r>
    <x v="4"/>
  </r>
  <r>
    <x v="1"/>
  </r>
  <r>
    <x v="2"/>
  </r>
  <r>
    <x v="0"/>
  </r>
  <r>
    <x v="0"/>
  </r>
  <r>
    <x v="2"/>
  </r>
  <r>
    <x v="4"/>
  </r>
  <r>
    <x v="4"/>
  </r>
  <r>
    <x v="1"/>
  </r>
  <r>
    <x v="0"/>
  </r>
  <r>
    <x v="1"/>
  </r>
  <r>
    <x v="4"/>
  </r>
  <r>
    <x v="2"/>
  </r>
  <r>
    <x v="1"/>
  </r>
  <r>
    <x v="4"/>
  </r>
  <r>
    <x v="1"/>
  </r>
  <r>
    <x v="2"/>
  </r>
  <r>
    <x v="0"/>
  </r>
  <r>
    <x v="1"/>
  </r>
  <r>
    <x v="3"/>
  </r>
  <r>
    <x v="1"/>
  </r>
  <r>
    <x v="3"/>
  </r>
  <r>
    <x v="2"/>
  </r>
  <r>
    <x v="2"/>
  </r>
  <r>
    <x v="1"/>
  </r>
  <r>
    <x v="4"/>
  </r>
  <r>
    <x v="1"/>
  </r>
  <r>
    <x v="1"/>
  </r>
  <r>
    <x v="3"/>
  </r>
  <r>
    <x v="4"/>
  </r>
  <r>
    <x v="0"/>
  </r>
  <r>
    <x v="0"/>
  </r>
  <r>
    <x v="1"/>
  </r>
  <r>
    <x v="1"/>
  </r>
  <r>
    <x v="3"/>
  </r>
  <r>
    <x v="0"/>
  </r>
  <r>
    <x v="0"/>
  </r>
  <r>
    <x v="0"/>
  </r>
  <r>
    <x v="1"/>
  </r>
  <r>
    <x v="0"/>
  </r>
  <r>
    <x v="3"/>
  </r>
  <r>
    <x v="0"/>
  </r>
  <r>
    <x v="1"/>
  </r>
  <r>
    <x v="3"/>
  </r>
  <r>
    <x v="1"/>
  </r>
  <r>
    <x v="1"/>
  </r>
  <r>
    <x v="2"/>
  </r>
  <r>
    <x v="0"/>
  </r>
  <r>
    <x v="2"/>
  </r>
  <r>
    <x v="3"/>
  </r>
  <r>
    <x v="2"/>
  </r>
  <r>
    <x v="0"/>
  </r>
  <r>
    <x v="0"/>
  </r>
  <r>
    <x v="3"/>
  </r>
  <r>
    <x v="2"/>
  </r>
  <r>
    <x v="2"/>
  </r>
  <r>
    <x v="2"/>
  </r>
  <r>
    <x v="0"/>
  </r>
  <r>
    <x v="4"/>
  </r>
  <r>
    <x v="2"/>
  </r>
  <r>
    <x v="3"/>
  </r>
  <r>
    <x v="2"/>
  </r>
  <r>
    <x v="2"/>
  </r>
  <r>
    <x v="1"/>
  </r>
  <r>
    <x v="1"/>
  </r>
  <r>
    <x v="4"/>
  </r>
  <r>
    <x v="4"/>
  </r>
  <r>
    <x v="0"/>
  </r>
  <r>
    <x v="4"/>
  </r>
  <r>
    <x v="1"/>
  </r>
  <r>
    <x v="1"/>
  </r>
  <r>
    <x v="2"/>
  </r>
  <r>
    <x v="4"/>
  </r>
  <r>
    <x v="0"/>
  </r>
  <r>
    <x v="2"/>
  </r>
  <r>
    <x v="1"/>
  </r>
  <r>
    <x v="1"/>
  </r>
  <r>
    <x v="1"/>
  </r>
  <r>
    <x v="2"/>
  </r>
  <r>
    <x v="2"/>
  </r>
  <r>
    <x v="1"/>
  </r>
  <r>
    <x v="3"/>
  </r>
  <r>
    <x v="1"/>
  </r>
  <r>
    <x v="3"/>
  </r>
  <r>
    <x v="0"/>
  </r>
  <r>
    <x v="1"/>
  </r>
  <r>
    <x v="1"/>
  </r>
  <r>
    <x v="0"/>
  </r>
  <r>
    <x v="0"/>
  </r>
  <r>
    <x v="1"/>
  </r>
  <r>
    <x v="3"/>
  </r>
  <r>
    <x v="4"/>
  </r>
  <r>
    <x v="2"/>
  </r>
  <r>
    <x v="2"/>
  </r>
  <r>
    <x v="0"/>
  </r>
  <r>
    <x v="1"/>
  </r>
  <r>
    <x v="1"/>
  </r>
  <r>
    <x v="2"/>
  </r>
  <r>
    <x v="4"/>
  </r>
  <r>
    <x v="3"/>
  </r>
  <r>
    <x v="2"/>
  </r>
  <r>
    <x v="2"/>
  </r>
  <r>
    <x v="2"/>
  </r>
  <r>
    <x v="4"/>
  </r>
  <r>
    <x v="0"/>
  </r>
  <r>
    <x v="4"/>
  </r>
  <r>
    <x v="0"/>
  </r>
  <r>
    <x v="1"/>
  </r>
  <r>
    <x v="0"/>
  </r>
  <r>
    <x v="0"/>
  </r>
  <r>
    <x v="4"/>
  </r>
  <r>
    <x v="4"/>
  </r>
  <r>
    <x v="4"/>
  </r>
  <r>
    <x v="2"/>
  </r>
  <r>
    <x v="3"/>
  </r>
  <r>
    <x v="0"/>
  </r>
  <r>
    <x v="1"/>
  </r>
  <r>
    <x v="3"/>
  </r>
  <r>
    <x v="1"/>
  </r>
  <r>
    <x v="2"/>
  </r>
  <r>
    <x v="4"/>
  </r>
  <r>
    <x v="1"/>
  </r>
  <r>
    <x v="3"/>
  </r>
  <r>
    <x v="2"/>
  </r>
  <r>
    <x v="2"/>
  </r>
  <r>
    <x v="0"/>
  </r>
  <r>
    <x v="2"/>
  </r>
  <r>
    <x v="2"/>
  </r>
  <r>
    <x v="0"/>
  </r>
  <r>
    <x v="4"/>
  </r>
  <r>
    <x v="4"/>
  </r>
  <r>
    <x v="4"/>
  </r>
  <r>
    <x v="1"/>
  </r>
  <r>
    <x v="0"/>
  </r>
  <r>
    <x v="3"/>
  </r>
  <r>
    <x v="3"/>
  </r>
  <r>
    <x v="4"/>
  </r>
  <r>
    <x v="1"/>
  </r>
  <r>
    <x v="0"/>
  </r>
  <r>
    <x v="0"/>
  </r>
  <r>
    <x v="0"/>
  </r>
  <r>
    <x v="2"/>
  </r>
  <r>
    <x v="4"/>
  </r>
  <r>
    <x v="3"/>
  </r>
  <r>
    <x v="4"/>
  </r>
  <r>
    <x v="3"/>
  </r>
  <r>
    <x v="2"/>
  </r>
  <r>
    <x v="4"/>
  </r>
  <r>
    <x v="4"/>
  </r>
  <r>
    <x v="4"/>
  </r>
  <r>
    <x v="1"/>
  </r>
  <r>
    <x v="2"/>
  </r>
  <r>
    <x v="3"/>
  </r>
  <r>
    <x v="0"/>
  </r>
  <r>
    <x v="4"/>
  </r>
  <r>
    <x v="2"/>
  </r>
  <r>
    <x v="1"/>
  </r>
  <r>
    <x v="1"/>
  </r>
  <r>
    <x v="2"/>
  </r>
  <r>
    <x v="3"/>
  </r>
  <r>
    <x v="2"/>
  </r>
  <r>
    <x v="2"/>
  </r>
  <r>
    <x v="4"/>
  </r>
  <r>
    <x v="1"/>
  </r>
  <r>
    <x v="4"/>
  </r>
  <r>
    <x v="0"/>
  </r>
  <r>
    <x v="0"/>
  </r>
  <r>
    <x v="0"/>
  </r>
  <r>
    <x v="0"/>
  </r>
  <r>
    <x v="2"/>
  </r>
  <r>
    <x v="1"/>
  </r>
  <r>
    <x v="1"/>
  </r>
  <r>
    <x v="3"/>
  </r>
  <r>
    <x v="2"/>
  </r>
  <r>
    <x v="1"/>
  </r>
  <r>
    <x v="0"/>
  </r>
  <r>
    <x v="2"/>
  </r>
  <r>
    <x v="4"/>
  </r>
  <r>
    <x v="1"/>
  </r>
  <r>
    <x v="2"/>
  </r>
  <r>
    <x v="2"/>
  </r>
  <r>
    <x v="3"/>
  </r>
  <r>
    <x v="1"/>
  </r>
  <r>
    <x v="3"/>
  </r>
  <r>
    <x v="4"/>
  </r>
  <r>
    <x v="1"/>
  </r>
  <r>
    <x v="3"/>
  </r>
  <r>
    <x v="4"/>
  </r>
  <r>
    <x v="2"/>
  </r>
  <r>
    <x v="1"/>
  </r>
  <r>
    <x v="1"/>
  </r>
  <r>
    <x v="4"/>
  </r>
  <r>
    <x v="3"/>
  </r>
  <r>
    <x v="3"/>
  </r>
  <r>
    <x v="0"/>
  </r>
  <r>
    <x v="4"/>
  </r>
  <r>
    <x v="3"/>
  </r>
  <r>
    <x v="2"/>
  </r>
  <r>
    <x v="3"/>
  </r>
  <r>
    <x v="1"/>
  </r>
  <r>
    <x v="3"/>
  </r>
  <r>
    <x v="1"/>
  </r>
  <r>
    <x v="2"/>
  </r>
  <r>
    <x v="3"/>
  </r>
  <r>
    <x v="2"/>
  </r>
  <r>
    <x v="2"/>
  </r>
  <r>
    <x v="2"/>
  </r>
  <r>
    <x v="3"/>
  </r>
  <r>
    <x v="4"/>
  </r>
  <r>
    <x v="4"/>
  </r>
  <r>
    <x v="4"/>
  </r>
  <r>
    <x v="1"/>
  </r>
  <r>
    <x v="3"/>
  </r>
  <r>
    <x v="3"/>
  </r>
  <r>
    <x v="2"/>
  </r>
  <r>
    <x v="4"/>
  </r>
  <r>
    <x v="4"/>
  </r>
  <r>
    <x v="4"/>
  </r>
  <r>
    <x v="4"/>
  </r>
  <r>
    <x v="0"/>
  </r>
  <r>
    <x v="3"/>
  </r>
  <r>
    <x v="3"/>
  </r>
  <r>
    <x v="2"/>
  </r>
  <r>
    <x v="3"/>
  </r>
  <r>
    <x v="2"/>
  </r>
  <r>
    <x v="3"/>
  </r>
  <r>
    <x v="3"/>
  </r>
  <r>
    <x v="2"/>
  </r>
  <r>
    <x v="0"/>
  </r>
  <r>
    <x v="0"/>
  </r>
  <r>
    <x v="3"/>
  </r>
  <r>
    <x v="3"/>
  </r>
  <r>
    <x v="0"/>
  </r>
  <r>
    <x v="4"/>
  </r>
  <r>
    <x v="0"/>
  </r>
  <r>
    <x v="4"/>
  </r>
  <r>
    <x v="0"/>
  </r>
  <r>
    <x v="4"/>
  </r>
  <r>
    <x v="1"/>
  </r>
  <r>
    <x v="3"/>
  </r>
  <r>
    <x v="4"/>
  </r>
  <r>
    <x v="4"/>
  </r>
  <r>
    <x v="1"/>
  </r>
  <r>
    <x v="2"/>
  </r>
  <r>
    <x v="4"/>
  </r>
  <r>
    <x v="4"/>
  </r>
  <r>
    <x v="4"/>
  </r>
  <r>
    <x v="2"/>
  </r>
  <r>
    <x v="2"/>
  </r>
  <r>
    <x v="1"/>
  </r>
  <r>
    <x v="1"/>
  </r>
  <r>
    <x v="4"/>
  </r>
  <r>
    <x v="0"/>
  </r>
  <r>
    <x v="1"/>
  </r>
  <r>
    <x v="0"/>
  </r>
  <r>
    <x v="3"/>
  </r>
  <r>
    <x v="4"/>
  </r>
  <r>
    <x v="4"/>
  </r>
  <r>
    <x v="1"/>
  </r>
  <r>
    <x v="2"/>
  </r>
  <r>
    <x v="2"/>
  </r>
  <r>
    <x v="4"/>
  </r>
  <r>
    <x v="4"/>
  </r>
  <r>
    <x v="3"/>
  </r>
  <r>
    <x v="1"/>
  </r>
  <r>
    <x v="4"/>
  </r>
  <r>
    <x v="4"/>
  </r>
  <r>
    <x v="2"/>
  </r>
  <r>
    <x v="2"/>
  </r>
  <r>
    <x v="0"/>
  </r>
  <r>
    <x v="1"/>
  </r>
  <r>
    <x v="3"/>
  </r>
  <r>
    <x v="4"/>
  </r>
  <r>
    <x v="4"/>
  </r>
  <r>
    <x v="3"/>
  </r>
  <r>
    <x v="4"/>
  </r>
  <r>
    <x v="0"/>
  </r>
  <r>
    <x v="2"/>
  </r>
  <r>
    <x v="0"/>
  </r>
  <r>
    <x v="3"/>
  </r>
  <r>
    <x v="0"/>
  </r>
  <r>
    <x v="3"/>
  </r>
  <r>
    <x v="2"/>
  </r>
  <r>
    <x v="3"/>
  </r>
  <r>
    <x v="1"/>
  </r>
  <r>
    <x v="3"/>
  </r>
  <r>
    <x v="0"/>
  </r>
  <r>
    <x v="2"/>
  </r>
  <r>
    <x v="1"/>
  </r>
  <r>
    <x v="3"/>
  </r>
  <r>
    <x v="1"/>
  </r>
  <r>
    <x v="1"/>
  </r>
  <r>
    <x v="0"/>
  </r>
  <r>
    <x v="0"/>
  </r>
  <r>
    <x v="1"/>
  </r>
  <r>
    <x v="0"/>
  </r>
  <r>
    <x v="2"/>
  </r>
  <r>
    <x v="2"/>
  </r>
  <r>
    <x v="4"/>
  </r>
  <r>
    <x v="4"/>
  </r>
  <r>
    <x v="3"/>
  </r>
  <r>
    <x v="2"/>
  </r>
  <r>
    <x v="4"/>
  </r>
  <r>
    <x v="0"/>
  </r>
  <r>
    <x v="0"/>
  </r>
  <r>
    <x v="1"/>
  </r>
  <r>
    <x v="0"/>
  </r>
  <r>
    <x v="3"/>
  </r>
  <r>
    <x v="0"/>
  </r>
  <r>
    <x v="4"/>
  </r>
  <r>
    <x v="3"/>
  </r>
  <r>
    <x v="0"/>
  </r>
  <r>
    <x v="1"/>
  </r>
  <r>
    <x v="0"/>
  </r>
  <r>
    <x v="4"/>
  </r>
  <r>
    <x v="2"/>
  </r>
  <r>
    <x v="1"/>
  </r>
  <r>
    <x v="3"/>
  </r>
  <r>
    <x v="3"/>
  </r>
  <r>
    <x v="2"/>
  </r>
  <r>
    <x v="0"/>
  </r>
  <r>
    <x v="2"/>
  </r>
  <r>
    <x v="3"/>
  </r>
  <r>
    <x v="0"/>
  </r>
  <r>
    <x v="1"/>
  </r>
  <r>
    <x v="1"/>
  </r>
  <r>
    <x v="3"/>
  </r>
  <r>
    <x v="3"/>
  </r>
  <r>
    <x v="3"/>
  </r>
  <r>
    <x v="0"/>
  </r>
  <r>
    <x v="0"/>
  </r>
  <r>
    <x v="3"/>
  </r>
  <r>
    <x v="2"/>
  </r>
  <r>
    <x v="1"/>
  </r>
  <r>
    <x v="0"/>
  </r>
  <r>
    <x v="3"/>
  </r>
  <r>
    <x v="2"/>
  </r>
  <r>
    <x v="4"/>
  </r>
  <r>
    <x v="0"/>
  </r>
  <r>
    <x v="4"/>
  </r>
  <r>
    <x v="0"/>
  </r>
  <r>
    <x v="1"/>
  </r>
  <r>
    <x v="1"/>
  </r>
  <r>
    <x v="3"/>
  </r>
  <r>
    <x v="4"/>
  </r>
  <r>
    <x v="1"/>
  </r>
  <r>
    <x v="1"/>
  </r>
  <r>
    <x v="3"/>
  </r>
  <r>
    <x v="2"/>
  </r>
  <r>
    <x v="1"/>
  </r>
  <r>
    <x v="1"/>
  </r>
  <r>
    <x v="4"/>
  </r>
  <r>
    <x v="3"/>
  </r>
  <r>
    <x v="1"/>
  </r>
  <r>
    <x v="2"/>
  </r>
  <r>
    <x v="3"/>
  </r>
  <r>
    <x v="2"/>
  </r>
  <r>
    <x v="2"/>
  </r>
  <r>
    <x v="1"/>
  </r>
  <r>
    <x v="3"/>
  </r>
  <r>
    <x v="1"/>
  </r>
  <r>
    <x v="0"/>
  </r>
  <r>
    <x v="3"/>
  </r>
  <r>
    <x v="3"/>
  </r>
  <r>
    <x v="4"/>
  </r>
  <r>
    <x v="2"/>
  </r>
  <r>
    <x v="4"/>
  </r>
  <r>
    <x v="4"/>
  </r>
  <r>
    <x v="2"/>
  </r>
  <r>
    <x v="2"/>
  </r>
  <r>
    <x v="2"/>
  </r>
  <r>
    <x v="3"/>
  </r>
  <r>
    <x v="0"/>
  </r>
  <r>
    <x v="1"/>
  </r>
  <r>
    <x v="3"/>
  </r>
  <r>
    <x v="4"/>
  </r>
  <r>
    <x v="0"/>
  </r>
  <r>
    <x v="3"/>
  </r>
  <r>
    <x v="2"/>
  </r>
  <r>
    <x v="4"/>
  </r>
  <r>
    <x v="0"/>
  </r>
  <r>
    <x v="0"/>
  </r>
  <r>
    <x v="1"/>
  </r>
  <r>
    <x v="0"/>
  </r>
  <r>
    <x v="4"/>
  </r>
  <r>
    <x v="1"/>
  </r>
  <r>
    <x v="4"/>
  </r>
  <r>
    <x v="2"/>
  </r>
  <r>
    <x v="2"/>
  </r>
  <r>
    <x v="4"/>
  </r>
  <r>
    <x v="2"/>
  </r>
  <r>
    <x v="0"/>
  </r>
  <r>
    <x v="4"/>
  </r>
  <r>
    <x v="2"/>
  </r>
  <r>
    <x v="2"/>
  </r>
  <r>
    <x v="0"/>
  </r>
  <r>
    <x v="0"/>
  </r>
  <r>
    <x v="0"/>
  </r>
  <r>
    <x v="0"/>
  </r>
  <r>
    <x v="4"/>
  </r>
  <r>
    <x v="0"/>
  </r>
  <r>
    <x v="2"/>
  </r>
  <r>
    <x v="0"/>
  </r>
  <r>
    <x v="0"/>
  </r>
  <r>
    <x v="4"/>
  </r>
  <r>
    <x v="2"/>
  </r>
  <r>
    <x v="2"/>
  </r>
  <r>
    <x v="4"/>
  </r>
  <r>
    <x v="4"/>
  </r>
  <r>
    <x v="2"/>
  </r>
  <r>
    <x v="2"/>
  </r>
  <r>
    <x v="1"/>
  </r>
  <r>
    <x v="2"/>
  </r>
  <r>
    <x v="0"/>
  </r>
  <r>
    <x v="0"/>
  </r>
  <r>
    <x v="4"/>
  </r>
  <r>
    <x v="2"/>
  </r>
  <r>
    <x v="2"/>
  </r>
  <r>
    <x v="0"/>
  </r>
  <r>
    <x v="1"/>
  </r>
  <r>
    <x v="3"/>
  </r>
  <r>
    <x v="3"/>
  </r>
  <r>
    <x v="3"/>
  </r>
  <r>
    <x v="3"/>
  </r>
  <r>
    <x v="4"/>
  </r>
  <r>
    <x v="3"/>
  </r>
  <r>
    <x v="3"/>
  </r>
  <r>
    <x v="4"/>
  </r>
  <r>
    <x v="2"/>
  </r>
  <r>
    <x v="3"/>
  </r>
  <r>
    <x v="1"/>
  </r>
  <r>
    <x v="4"/>
  </r>
  <r>
    <x v="4"/>
  </r>
  <r>
    <x v="2"/>
  </r>
  <r>
    <x v="1"/>
  </r>
  <r>
    <x v="1"/>
  </r>
  <r>
    <x v="0"/>
  </r>
  <r>
    <x v="3"/>
  </r>
  <r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1">
  <r>
    <x v="0"/>
  </r>
  <r>
    <x v="0"/>
  </r>
  <r>
    <x v="1"/>
  </r>
  <r>
    <x v="2"/>
  </r>
  <r>
    <x v="3"/>
  </r>
  <r>
    <x v="0"/>
  </r>
  <r>
    <x v="2"/>
  </r>
  <r>
    <x v="0"/>
  </r>
  <r>
    <x v="1"/>
  </r>
  <r>
    <x v="0"/>
  </r>
  <r>
    <x v="2"/>
  </r>
  <r>
    <x v="2"/>
  </r>
  <r>
    <x v="4"/>
  </r>
  <r>
    <x v="2"/>
  </r>
  <r>
    <x v="4"/>
  </r>
  <r>
    <x v="3"/>
  </r>
  <r>
    <x v="4"/>
  </r>
  <r>
    <x v="0"/>
  </r>
  <r>
    <x v="4"/>
  </r>
  <r>
    <x v="2"/>
  </r>
  <r>
    <x v="4"/>
  </r>
  <r>
    <x v="3"/>
  </r>
  <r>
    <x v="4"/>
  </r>
  <r>
    <x v="1"/>
  </r>
  <r>
    <x v="3"/>
  </r>
  <r>
    <x v="3"/>
  </r>
  <r>
    <x v="3"/>
  </r>
  <r>
    <x v="0"/>
  </r>
  <r>
    <x v="4"/>
  </r>
  <r>
    <x v="3"/>
  </r>
  <r>
    <x v="4"/>
  </r>
  <r>
    <x v="2"/>
  </r>
  <r>
    <x v="3"/>
  </r>
  <r>
    <x v="1"/>
  </r>
  <r>
    <x v="4"/>
  </r>
  <r>
    <x v="0"/>
  </r>
  <r>
    <x v="4"/>
  </r>
  <r>
    <x v="2"/>
  </r>
  <r>
    <x v="3"/>
  </r>
  <r>
    <x v="3"/>
  </r>
  <r>
    <x v="3"/>
  </r>
  <r>
    <x v="4"/>
  </r>
  <r>
    <x v="1"/>
  </r>
  <r>
    <x v="1"/>
  </r>
  <r>
    <x v="2"/>
  </r>
  <r>
    <x v="2"/>
  </r>
  <r>
    <x v="4"/>
  </r>
  <r>
    <x v="2"/>
  </r>
  <r>
    <x v="0"/>
  </r>
  <r>
    <x v="0"/>
  </r>
  <r>
    <x v="1"/>
  </r>
  <r>
    <x v="2"/>
  </r>
  <r>
    <x v="2"/>
  </r>
  <r>
    <x v="2"/>
  </r>
  <r>
    <x v="4"/>
  </r>
  <r>
    <x v="1"/>
  </r>
  <r>
    <x v="1"/>
  </r>
  <r>
    <x v="2"/>
  </r>
  <r>
    <x v="1"/>
  </r>
  <r>
    <x v="0"/>
  </r>
  <r>
    <x v="2"/>
  </r>
  <r>
    <x v="3"/>
  </r>
  <r>
    <x v="4"/>
  </r>
  <r>
    <x v="0"/>
  </r>
  <r>
    <x v="1"/>
  </r>
  <r>
    <x v="3"/>
  </r>
  <r>
    <x v="1"/>
  </r>
  <r>
    <x v="1"/>
  </r>
  <r>
    <x v="4"/>
  </r>
  <r>
    <x v="0"/>
  </r>
  <r>
    <x v="4"/>
  </r>
  <r>
    <x v="4"/>
  </r>
  <r>
    <x v="2"/>
  </r>
  <r>
    <x v="1"/>
  </r>
  <r>
    <x v="4"/>
  </r>
  <r>
    <x v="3"/>
  </r>
  <r>
    <x v="1"/>
  </r>
  <r>
    <x v="2"/>
  </r>
  <r>
    <x v="3"/>
  </r>
  <r>
    <x v="0"/>
  </r>
  <r>
    <x v="2"/>
  </r>
  <r>
    <x v="0"/>
  </r>
  <r>
    <x v="0"/>
  </r>
  <r>
    <x v="1"/>
  </r>
  <r>
    <x v="0"/>
  </r>
  <r>
    <x v="3"/>
  </r>
  <r>
    <x v="1"/>
  </r>
  <r>
    <x v="0"/>
  </r>
  <r>
    <x v="1"/>
  </r>
  <r>
    <x v="1"/>
  </r>
  <r>
    <x v="3"/>
  </r>
  <r>
    <x v="0"/>
  </r>
  <r>
    <x v="0"/>
  </r>
  <r>
    <x v="2"/>
  </r>
  <r>
    <x v="2"/>
  </r>
  <r>
    <x v="2"/>
  </r>
  <r>
    <x v="3"/>
  </r>
  <r>
    <x v="4"/>
  </r>
  <r>
    <x v="4"/>
  </r>
  <r>
    <x v="1"/>
  </r>
  <r>
    <x v="3"/>
  </r>
  <r>
    <x v="0"/>
  </r>
  <r>
    <x v="1"/>
  </r>
  <r>
    <x v="1"/>
  </r>
  <r>
    <x v="3"/>
  </r>
  <r>
    <x v="1"/>
  </r>
  <r>
    <x v="1"/>
  </r>
  <r>
    <x v="0"/>
  </r>
  <r>
    <x v="3"/>
  </r>
  <r>
    <x v="0"/>
  </r>
  <r>
    <x v="4"/>
  </r>
  <r>
    <x v="1"/>
  </r>
  <r>
    <x v="1"/>
  </r>
  <r>
    <x v="0"/>
  </r>
  <r>
    <x v="4"/>
  </r>
  <r>
    <x v="0"/>
  </r>
  <r>
    <x v="1"/>
  </r>
  <r>
    <x v="1"/>
  </r>
  <r>
    <x v="0"/>
  </r>
  <r>
    <x v="0"/>
  </r>
  <r>
    <x v="1"/>
  </r>
  <r>
    <x v="1"/>
  </r>
  <r>
    <x v="0"/>
  </r>
  <r>
    <x v="3"/>
  </r>
  <r>
    <x v="4"/>
  </r>
  <r>
    <x v="0"/>
  </r>
  <r>
    <x v="0"/>
  </r>
  <r>
    <x v="0"/>
  </r>
  <r>
    <x v="3"/>
  </r>
  <r>
    <x v="0"/>
  </r>
  <r>
    <x v="1"/>
  </r>
  <r>
    <x v="4"/>
  </r>
  <r>
    <x v="0"/>
  </r>
  <r>
    <x v="1"/>
  </r>
  <r>
    <x v="4"/>
  </r>
  <r>
    <x v="0"/>
  </r>
  <r>
    <x v="1"/>
  </r>
  <r>
    <x v="3"/>
  </r>
  <r>
    <x v="4"/>
  </r>
  <r>
    <x v="2"/>
  </r>
  <r>
    <x v="3"/>
  </r>
  <r>
    <x v="1"/>
  </r>
  <r>
    <x v="4"/>
  </r>
  <r>
    <x v="0"/>
  </r>
  <r>
    <x v="4"/>
  </r>
  <r>
    <x v="3"/>
  </r>
  <r>
    <x v="2"/>
  </r>
  <r>
    <x v="1"/>
  </r>
  <r>
    <x v="1"/>
  </r>
  <r>
    <x v="3"/>
  </r>
  <r>
    <x v="2"/>
  </r>
  <r>
    <x v="2"/>
  </r>
  <r>
    <x v="1"/>
  </r>
  <r>
    <x v="2"/>
  </r>
  <r>
    <x v="4"/>
  </r>
  <r>
    <x v="0"/>
  </r>
  <r>
    <x v="3"/>
  </r>
  <r>
    <x v="2"/>
  </r>
  <r>
    <x v="4"/>
  </r>
  <r>
    <x v="1"/>
  </r>
  <r>
    <x v="4"/>
  </r>
  <r>
    <x v="1"/>
  </r>
  <r>
    <x v="4"/>
  </r>
  <r>
    <x v="1"/>
  </r>
  <r>
    <x v="4"/>
  </r>
  <r>
    <x v="2"/>
  </r>
  <r>
    <x v="3"/>
  </r>
  <r>
    <x v="2"/>
  </r>
  <r>
    <x v="2"/>
  </r>
  <r>
    <x v="3"/>
  </r>
  <r>
    <x v="1"/>
  </r>
  <r>
    <x v="3"/>
  </r>
  <r>
    <x v="3"/>
  </r>
  <r>
    <x v="3"/>
  </r>
  <r>
    <x v="3"/>
  </r>
  <r>
    <x v="4"/>
  </r>
  <r>
    <x v="4"/>
  </r>
  <r>
    <x v="4"/>
  </r>
  <r>
    <x v="3"/>
  </r>
  <r>
    <x v="3"/>
  </r>
  <r>
    <x v="2"/>
  </r>
  <r>
    <x v="0"/>
  </r>
  <r>
    <x v="4"/>
  </r>
  <r>
    <x v="3"/>
  </r>
  <r>
    <x v="1"/>
  </r>
  <r>
    <x v="0"/>
  </r>
  <r>
    <x v="4"/>
  </r>
  <r>
    <x v="2"/>
  </r>
  <r>
    <x v="0"/>
  </r>
  <r>
    <x v="1"/>
  </r>
  <r>
    <x v="2"/>
  </r>
  <r>
    <x v="1"/>
  </r>
  <r>
    <x v="1"/>
  </r>
  <r>
    <x v="1"/>
  </r>
  <r>
    <x v="0"/>
  </r>
  <r>
    <x v="1"/>
  </r>
  <r>
    <x v="3"/>
  </r>
  <r>
    <x v="2"/>
  </r>
  <r>
    <x v="1"/>
  </r>
  <r>
    <x v="2"/>
  </r>
  <r>
    <x v="3"/>
  </r>
  <r>
    <x v="0"/>
  </r>
  <r>
    <x v="1"/>
  </r>
  <r>
    <x v="0"/>
  </r>
  <r>
    <x v="1"/>
  </r>
  <r>
    <x v="2"/>
  </r>
  <r>
    <x v="2"/>
  </r>
  <r>
    <x v="3"/>
  </r>
  <r>
    <x v="0"/>
  </r>
  <r>
    <x v="2"/>
  </r>
  <r>
    <x v="3"/>
  </r>
  <r>
    <x v="4"/>
  </r>
  <r>
    <x v="1"/>
  </r>
  <r>
    <x v="1"/>
  </r>
  <r>
    <x v="3"/>
  </r>
  <r>
    <x v="0"/>
  </r>
  <r>
    <x v="1"/>
  </r>
  <r>
    <x v="2"/>
  </r>
  <r>
    <x v="0"/>
  </r>
  <r>
    <x v="3"/>
  </r>
  <r>
    <x v="4"/>
  </r>
  <r>
    <x v="4"/>
  </r>
  <r>
    <x v="0"/>
  </r>
  <r>
    <x v="4"/>
  </r>
  <r>
    <x v="1"/>
  </r>
  <r>
    <x v="2"/>
  </r>
  <r>
    <x v="3"/>
  </r>
  <r>
    <x v="1"/>
  </r>
  <r>
    <x v="1"/>
  </r>
  <r>
    <x v="3"/>
  </r>
  <r>
    <x v="3"/>
  </r>
  <r>
    <x v="4"/>
  </r>
  <r>
    <x v="1"/>
  </r>
  <r>
    <x v="1"/>
  </r>
  <r>
    <x v="4"/>
  </r>
  <r>
    <x v="4"/>
  </r>
  <r>
    <x v="4"/>
  </r>
  <r>
    <x v="0"/>
  </r>
  <r>
    <x v="4"/>
  </r>
  <r>
    <x v="0"/>
  </r>
  <r>
    <x v="4"/>
  </r>
  <r>
    <x v="4"/>
  </r>
  <r>
    <x v="4"/>
  </r>
  <r>
    <x v="1"/>
  </r>
  <r>
    <x v="1"/>
  </r>
  <r>
    <x v="2"/>
  </r>
  <r>
    <x v="0"/>
  </r>
  <r>
    <x v="0"/>
  </r>
  <r>
    <x v="0"/>
  </r>
  <r>
    <x v="4"/>
  </r>
  <r>
    <x v="2"/>
  </r>
  <r>
    <x v="1"/>
  </r>
  <r>
    <x v="1"/>
  </r>
  <r>
    <x v="2"/>
  </r>
  <r>
    <x v="3"/>
  </r>
  <r>
    <x v="2"/>
  </r>
  <r>
    <x v="2"/>
  </r>
  <r>
    <x v="1"/>
  </r>
  <r>
    <x v="0"/>
  </r>
  <r>
    <x v="3"/>
  </r>
  <r>
    <x v="0"/>
  </r>
  <r>
    <x v="3"/>
  </r>
  <r>
    <x v="2"/>
  </r>
  <r>
    <x v="4"/>
  </r>
  <r>
    <x v="2"/>
  </r>
  <r>
    <x v="1"/>
  </r>
  <r>
    <x v="1"/>
  </r>
  <r>
    <x v="3"/>
  </r>
  <r>
    <x v="3"/>
  </r>
  <r>
    <x v="4"/>
  </r>
  <r>
    <x v="0"/>
  </r>
  <r>
    <x v="0"/>
  </r>
  <r>
    <x v="4"/>
  </r>
  <r>
    <x v="1"/>
  </r>
  <r>
    <x v="1"/>
  </r>
  <r>
    <x v="1"/>
  </r>
  <r>
    <x v="2"/>
  </r>
  <r>
    <x v="3"/>
  </r>
  <r>
    <x v="3"/>
  </r>
  <r>
    <x v="4"/>
  </r>
  <r>
    <x v="3"/>
  </r>
  <r>
    <x v="4"/>
  </r>
  <r>
    <x v="1"/>
  </r>
  <r>
    <x v="0"/>
  </r>
  <r>
    <x v="2"/>
  </r>
  <r>
    <x v="3"/>
  </r>
  <r>
    <x v="2"/>
  </r>
  <r>
    <x v="0"/>
  </r>
  <r>
    <x v="2"/>
  </r>
  <r>
    <x v="0"/>
  </r>
  <r>
    <x v="3"/>
  </r>
  <r>
    <x v="3"/>
  </r>
  <r>
    <x v="3"/>
  </r>
  <r>
    <x v="2"/>
  </r>
  <r>
    <x v="0"/>
  </r>
  <r>
    <x v="1"/>
  </r>
  <r>
    <x v="1"/>
  </r>
  <r>
    <x v="2"/>
  </r>
  <r>
    <x v="1"/>
  </r>
  <r>
    <x v="1"/>
  </r>
  <r>
    <x v="2"/>
  </r>
  <r>
    <x v="1"/>
  </r>
  <r>
    <x v="4"/>
  </r>
  <r>
    <x v="2"/>
  </r>
  <r>
    <x v="3"/>
  </r>
  <r>
    <x v="4"/>
  </r>
  <r>
    <x v="2"/>
  </r>
  <r>
    <x v="3"/>
  </r>
  <r>
    <x v="2"/>
  </r>
  <r>
    <x v="3"/>
  </r>
  <r>
    <x v="0"/>
  </r>
  <r>
    <x v="2"/>
  </r>
  <r>
    <x v="4"/>
  </r>
  <r>
    <x v="3"/>
  </r>
  <r>
    <x v="3"/>
  </r>
  <r>
    <x v="1"/>
  </r>
  <r>
    <x v="0"/>
  </r>
  <r>
    <x v="2"/>
  </r>
  <r>
    <x v="1"/>
  </r>
  <r>
    <x v="2"/>
  </r>
  <r>
    <x v="0"/>
  </r>
  <r>
    <x v="1"/>
  </r>
  <r>
    <x v="3"/>
  </r>
  <r>
    <x v="2"/>
  </r>
  <r>
    <x v="2"/>
  </r>
  <r>
    <x v="0"/>
  </r>
  <r>
    <x v="2"/>
  </r>
  <r>
    <x v="1"/>
  </r>
  <r>
    <x v="1"/>
  </r>
  <r>
    <x v="0"/>
  </r>
  <r>
    <x v="4"/>
  </r>
  <r>
    <x v="3"/>
  </r>
  <r>
    <x v="4"/>
  </r>
  <r>
    <x v="2"/>
  </r>
  <r>
    <x v="3"/>
  </r>
  <r>
    <x v="0"/>
  </r>
  <r>
    <x v="4"/>
  </r>
  <r>
    <x v="2"/>
  </r>
  <r>
    <x v="0"/>
  </r>
  <r>
    <x v="4"/>
  </r>
  <r>
    <x v="1"/>
  </r>
  <r>
    <x v="0"/>
  </r>
  <r>
    <x v="2"/>
  </r>
  <r>
    <x v="4"/>
  </r>
  <r>
    <x v="1"/>
  </r>
  <r>
    <x v="0"/>
  </r>
  <r>
    <x v="4"/>
  </r>
  <r>
    <x v="4"/>
  </r>
  <r>
    <x v="2"/>
  </r>
  <r>
    <x v="3"/>
  </r>
  <r>
    <x v="0"/>
  </r>
  <r>
    <x v="3"/>
  </r>
  <r>
    <x v="4"/>
  </r>
  <r>
    <x v="3"/>
  </r>
  <r>
    <x v="0"/>
  </r>
  <r>
    <x v="1"/>
  </r>
  <r>
    <x v="1"/>
  </r>
  <r>
    <x v="3"/>
  </r>
  <r>
    <x v="1"/>
  </r>
  <r>
    <x v="3"/>
  </r>
  <r>
    <x v="4"/>
  </r>
  <r>
    <x v="3"/>
  </r>
  <r>
    <x v="1"/>
  </r>
  <r>
    <x v="4"/>
  </r>
  <r>
    <x v="1"/>
  </r>
  <r>
    <x v="1"/>
  </r>
  <r>
    <x v="4"/>
  </r>
  <r>
    <x v="4"/>
  </r>
  <r>
    <x v="1"/>
  </r>
  <r>
    <x v="4"/>
  </r>
  <r>
    <x v="1"/>
  </r>
  <r>
    <x v="4"/>
  </r>
  <r>
    <x v="2"/>
  </r>
  <r>
    <x v="4"/>
  </r>
  <r>
    <x v="4"/>
  </r>
  <r>
    <x v="0"/>
  </r>
  <r>
    <x v="4"/>
  </r>
  <r>
    <x v="4"/>
  </r>
  <r>
    <x v="4"/>
  </r>
  <r>
    <x v="0"/>
  </r>
  <r>
    <x v="4"/>
  </r>
  <r>
    <x v="2"/>
  </r>
  <r>
    <x v="0"/>
  </r>
  <r>
    <x v="4"/>
  </r>
  <r>
    <x v="2"/>
  </r>
  <r>
    <x v="3"/>
  </r>
  <r>
    <x v="2"/>
  </r>
  <r>
    <x v="0"/>
  </r>
  <r>
    <x v="4"/>
  </r>
  <r>
    <x v="0"/>
  </r>
  <r>
    <x v="3"/>
  </r>
  <r>
    <x v="1"/>
  </r>
  <r>
    <x v="3"/>
  </r>
  <r>
    <x v="2"/>
  </r>
  <r>
    <x v="0"/>
  </r>
  <r>
    <x v="3"/>
  </r>
  <r>
    <x v="0"/>
  </r>
  <r>
    <x v="1"/>
  </r>
  <r>
    <x v="0"/>
  </r>
  <r>
    <x v="2"/>
  </r>
  <r>
    <x v="2"/>
  </r>
  <r>
    <x v="2"/>
  </r>
  <r>
    <x v="0"/>
  </r>
  <r>
    <x v="2"/>
  </r>
  <r>
    <x v="3"/>
  </r>
  <r>
    <x v="1"/>
  </r>
  <r>
    <x v="2"/>
  </r>
  <r>
    <x v="2"/>
  </r>
  <r>
    <x v="4"/>
  </r>
  <r>
    <x v="3"/>
  </r>
  <r>
    <x v="0"/>
  </r>
  <r>
    <x v="0"/>
  </r>
  <r>
    <x v="2"/>
  </r>
  <r>
    <x v="3"/>
  </r>
  <r>
    <x v="3"/>
  </r>
  <r>
    <x v="0"/>
  </r>
  <r>
    <x v="1"/>
  </r>
  <r>
    <x v="1"/>
  </r>
  <r>
    <x v="1"/>
  </r>
  <r>
    <x v="4"/>
  </r>
  <r>
    <x v="0"/>
  </r>
  <r>
    <x v="1"/>
  </r>
  <r>
    <x v="2"/>
  </r>
  <r>
    <x v="1"/>
  </r>
  <r>
    <x v="4"/>
  </r>
  <r>
    <x v="2"/>
  </r>
  <r>
    <x v="1"/>
  </r>
  <r>
    <x v="4"/>
  </r>
  <r>
    <x v="1"/>
  </r>
  <r>
    <x v="4"/>
  </r>
  <r>
    <x v="0"/>
  </r>
  <r>
    <x v="1"/>
  </r>
  <r>
    <x v="2"/>
  </r>
  <r>
    <x v="2"/>
  </r>
  <r>
    <x v="2"/>
  </r>
  <r>
    <x v="2"/>
  </r>
  <r>
    <x v="4"/>
  </r>
  <r>
    <x v="3"/>
  </r>
  <r>
    <x v="4"/>
  </r>
  <r>
    <x v="0"/>
  </r>
  <r>
    <x v="4"/>
  </r>
  <r>
    <x v="2"/>
  </r>
  <r>
    <x v="4"/>
  </r>
  <r>
    <x v="2"/>
  </r>
  <r>
    <x v="0"/>
  </r>
  <r>
    <x v="3"/>
  </r>
  <r>
    <x v="3"/>
  </r>
  <r>
    <x v="2"/>
  </r>
  <r>
    <x v="4"/>
  </r>
  <r>
    <x v="4"/>
  </r>
  <r>
    <x v="2"/>
  </r>
  <r>
    <x v="1"/>
  </r>
  <r>
    <x v="4"/>
  </r>
  <r>
    <x v="0"/>
  </r>
  <r>
    <x v="1"/>
  </r>
  <r>
    <x v="4"/>
  </r>
  <r>
    <x v="0"/>
  </r>
  <r>
    <x v="2"/>
  </r>
  <r>
    <x v="2"/>
  </r>
  <r>
    <x v="2"/>
  </r>
  <r>
    <x v="2"/>
  </r>
  <r>
    <x v="0"/>
  </r>
  <r>
    <x v="1"/>
  </r>
  <r>
    <x v="0"/>
  </r>
  <r>
    <x v="1"/>
  </r>
  <r>
    <x v="1"/>
  </r>
  <r>
    <x v="3"/>
  </r>
  <r>
    <x v="1"/>
  </r>
  <r>
    <x v="3"/>
  </r>
  <r>
    <x v="1"/>
  </r>
  <r>
    <x v="0"/>
  </r>
  <r>
    <x v="1"/>
  </r>
  <r>
    <x v="1"/>
  </r>
  <r>
    <x v="0"/>
  </r>
  <r>
    <x v="0"/>
  </r>
  <r>
    <x v="1"/>
  </r>
  <r>
    <x v="2"/>
  </r>
  <r>
    <x v="0"/>
  </r>
  <r>
    <x v="0"/>
  </r>
  <r>
    <x v="4"/>
  </r>
  <r>
    <x v="4"/>
  </r>
  <r>
    <x v="3"/>
  </r>
  <r>
    <x v="4"/>
  </r>
  <r>
    <x v="4"/>
  </r>
  <r>
    <x v="1"/>
  </r>
  <r>
    <x v="0"/>
  </r>
  <r>
    <x v="0"/>
  </r>
  <r>
    <x v="4"/>
  </r>
  <r>
    <x v="1"/>
  </r>
  <r>
    <x v="1"/>
  </r>
  <r>
    <x v="1"/>
  </r>
  <r>
    <x v="4"/>
  </r>
  <r>
    <x v="0"/>
  </r>
  <r>
    <x v="4"/>
  </r>
  <r>
    <x v="4"/>
  </r>
  <r>
    <x v="4"/>
  </r>
  <r>
    <x v="1"/>
  </r>
  <r>
    <x v="0"/>
  </r>
  <r>
    <x v="2"/>
  </r>
  <r>
    <x v="0"/>
  </r>
  <r>
    <x v="2"/>
  </r>
  <r>
    <x v="4"/>
  </r>
  <r>
    <x v="2"/>
  </r>
  <r>
    <x v="4"/>
  </r>
  <r>
    <x v="1"/>
  </r>
  <r>
    <x v="0"/>
  </r>
  <r>
    <x v="2"/>
  </r>
  <r>
    <x v="4"/>
  </r>
  <r>
    <x v="3"/>
  </r>
  <r>
    <x v="2"/>
  </r>
  <r>
    <x v="3"/>
  </r>
  <r>
    <x v="3"/>
  </r>
  <r>
    <x v="4"/>
  </r>
  <r>
    <x v="0"/>
  </r>
  <r>
    <x v="0"/>
  </r>
  <r>
    <x v="0"/>
  </r>
  <r>
    <x v="2"/>
  </r>
  <r>
    <x v="1"/>
  </r>
  <r>
    <x v="4"/>
  </r>
  <r>
    <x v="2"/>
  </r>
  <r>
    <x v="2"/>
  </r>
  <r>
    <x v="0"/>
  </r>
  <r>
    <x v="1"/>
  </r>
  <r>
    <x v="2"/>
  </r>
  <r>
    <x v="2"/>
  </r>
  <r>
    <x v="0"/>
  </r>
  <r>
    <x v="2"/>
  </r>
  <r>
    <x v="1"/>
  </r>
  <r>
    <x v="2"/>
  </r>
  <r>
    <x v="4"/>
  </r>
  <r>
    <x v="4"/>
  </r>
  <r>
    <x v="3"/>
  </r>
  <r>
    <x v="3"/>
  </r>
  <r>
    <x v="2"/>
  </r>
  <r>
    <x v="1"/>
  </r>
  <r>
    <x v="1"/>
  </r>
  <r>
    <x v="2"/>
  </r>
  <r>
    <x v="3"/>
  </r>
  <r>
    <x v="0"/>
  </r>
  <r>
    <x v="3"/>
  </r>
  <r>
    <x v="4"/>
  </r>
  <r>
    <x v="4"/>
  </r>
  <r>
    <x v="1"/>
  </r>
  <r>
    <x v="0"/>
  </r>
  <r>
    <x v="2"/>
  </r>
  <r>
    <x v="2"/>
  </r>
  <r>
    <x v="2"/>
  </r>
  <r>
    <x v="3"/>
  </r>
  <r>
    <x v="3"/>
  </r>
  <r>
    <x v="1"/>
  </r>
  <r>
    <x v="0"/>
  </r>
  <r>
    <x v="3"/>
  </r>
  <r>
    <x v="2"/>
  </r>
  <r>
    <x v="1"/>
  </r>
  <r>
    <x v="2"/>
  </r>
  <r>
    <x v="0"/>
  </r>
  <r>
    <x v="4"/>
  </r>
  <r>
    <x v="4"/>
  </r>
  <r>
    <x v="3"/>
  </r>
  <r>
    <x v="1"/>
  </r>
  <r>
    <x v="4"/>
  </r>
  <r>
    <x v="0"/>
  </r>
  <r>
    <x v="2"/>
  </r>
  <r>
    <x v="2"/>
  </r>
  <r>
    <x v="1"/>
  </r>
  <r>
    <x v="4"/>
  </r>
  <r>
    <x v="1"/>
  </r>
  <r>
    <x v="0"/>
  </r>
  <r>
    <x v="3"/>
  </r>
  <r>
    <x v="0"/>
  </r>
  <r>
    <x v="4"/>
  </r>
  <r>
    <x v="2"/>
  </r>
  <r>
    <x v="2"/>
  </r>
  <r>
    <x v="1"/>
  </r>
  <r>
    <x v="4"/>
  </r>
  <r>
    <x v="2"/>
  </r>
  <r>
    <x v="4"/>
  </r>
  <r>
    <x v="2"/>
  </r>
  <r>
    <x v="3"/>
  </r>
  <r>
    <x v="0"/>
  </r>
  <r>
    <x v="3"/>
  </r>
  <r>
    <x v="3"/>
  </r>
  <r>
    <x v="0"/>
  </r>
  <r>
    <x v="3"/>
  </r>
  <r>
    <x v="3"/>
  </r>
  <r>
    <x v="2"/>
  </r>
  <r>
    <x v="2"/>
  </r>
  <r>
    <x v="3"/>
  </r>
  <r>
    <x v="3"/>
  </r>
  <r>
    <x v="3"/>
  </r>
  <r>
    <x v="2"/>
  </r>
  <r>
    <x v="0"/>
  </r>
  <r>
    <x v="2"/>
  </r>
  <r>
    <x v="0"/>
  </r>
  <r>
    <x v="1"/>
  </r>
  <r>
    <x v="4"/>
  </r>
  <r>
    <x v="2"/>
  </r>
  <r>
    <x v="1"/>
  </r>
  <r>
    <x v="4"/>
  </r>
  <r>
    <x v="1"/>
  </r>
  <r>
    <x v="1"/>
  </r>
  <r>
    <x v="0"/>
  </r>
  <r>
    <x v="4"/>
  </r>
  <r>
    <x v="4"/>
  </r>
  <r>
    <x v="3"/>
  </r>
  <r>
    <x v="0"/>
  </r>
  <r>
    <x v="1"/>
  </r>
  <r>
    <x v="0"/>
  </r>
  <r>
    <x v="1"/>
  </r>
  <r>
    <x v="2"/>
  </r>
  <r>
    <x v="2"/>
  </r>
  <r>
    <x v="2"/>
  </r>
  <r>
    <x v="1"/>
  </r>
  <r>
    <x v="2"/>
  </r>
  <r>
    <x v="1"/>
  </r>
  <r>
    <x v="2"/>
  </r>
  <r>
    <x v="1"/>
  </r>
  <r>
    <x v="1"/>
  </r>
  <r>
    <x v="2"/>
  </r>
  <r>
    <x v="4"/>
  </r>
  <r>
    <x v="2"/>
  </r>
  <r>
    <x v="3"/>
  </r>
  <r>
    <x v="2"/>
  </r>
  <r>
    <x v="1"/>
  </r>
  <r>
    <x v="3"/>
  </r>
  <r>
    <x v="4"/>
  </r>
  <r>
    <x v="0"/>
  </r>
  <r>
    <x v="2"/>
  </r>
  <r>
    <x v="4"/>
  </r>
  <r>
    <x v="4"/>
  </r>
  <r>
    <x v="1"/>
  </r>
  <r>
    <x v="2"/>
  </r>
  <r>
    <x v="3"/>
  </r>
  <r>
    <x v="1"/>
  </r>
  <r>
    <x v="3"/>
  </r>
  <r>
    <x v="2"/>
  </r>
  <r>
    <x v="1"/>
  </r>
  <r>
    <x v="0"/>
  </r>
  <r>
    <x v="3"/>
  </r>
  <r>
    <x v="1"/>
  </r>
  <r>
    <x v="2"/>
  </r>
  <r>
    <x v="4"/>
  </r>
  <r>
    <x v="1"/>
  </r>
  <r>
    <x v="1"/>
  </r>
  <r>
    <x v="0"/>
  </r>
  <r>
    <x v="1"/>
  </r>
  <r>
    <x v="0"/>
  </r>
  <r>
    <x v="2"/>
  </r>
  <r>
    <x v="3"/>
  </r>
  <r>
    <x v="2"/>
  </r>
  <r>
    <x v="3"/>
  </r>
  <r>
    <x v="4"/>
  </r>
  <r>
    <x v="0"/>
  </r>
  <r>
    <x v="0"/>
  </r>
  <r>
    <x v="2"/>
  </r>
  <r>
    <x v="1"/>
  </r>
  <r>
    <x v="0"/>
  </r>
  <r>
    <x v="1"/>
  </r>
  <r>
    <x v="2"/>
  </r>
  <r>
    <x v="3"/>
  </r>
  <r>
    <x v="0"/>
  </r>
  <r>
    <x v="1"/>
  </r>
  <r>
    <x v="2"/>
  </r>
  <r>
    <x v="1"/>
  </r>
  <r>
    <x v="0"/>
  </r>
  <r>
    <x v="0"/>
  </r>
  <r>
    <x v="1"/>
  </r>
  <r>
    <x v="4"/>
  </r>
  <r>
    <x v="2"/>
  </r>
  <r>
    <x v="1"/>
  </r>
  <r>
    <x v="4"/>
  </r>
  <r>
    <x v="1"/>
  </r>
  <r>
    <x v="0"/>
  </r>
  <r>
    <x v="3"/>
  </r>
  <r>
    <x v="3"/>
  </r>
  <r>
    <x v="4"/>
  </r>
  <r>
    <x v="1"/>
  </r>
  <r>
    <x v="1"/>
  </r>
  <r>
    <x v="0"/>
  </r>
  <r>
    <x v="2"/>
  </r>
  <r>
    <x v="2"/>
  </r>
  <r>
    <x v="0"/>
  </r>
  <r>
    <x v="1"/>
  </r>
  <r>
    <x v="4"/>
  </r>
  <r>
    <x v="0"/>
  </r>
  <r>
    <x v="0"/>
  </r>
  <r>
    <x v="4"/>
  </r>
  <r>
    <x v="2"/>
  </r>
  <r>
    <x v="1"/>
  </r>
  <r>
    <x v="0"/>
  </r>
  <r>
    <x v="2"/>
  </r>
  <r>
    <x v="0"/>
  </r>
  <r>
    <x v="3"/>
  </r>
  <r>
    <x v="2"/>
  </r>
  <r>
    <x v="0"/>
  </r>
  <r>
    <x v="0"/>
  </r>
  <r>
    <x v="4"/>
  </r>
  <r>
    <x v="0"/>
  </r>
  <r>
    <x v="3"/>
  </r>
  <r>
    <x v="1"/>
  </r>
  <r>
    <x v="2"/>
  </r>
  <r>
    <x v="3"/>
  </r>
  <r>
    <x v="2"/>
  </r>
  <r>
    <x v="4"/>
  </r>
  <r>
    <x v="3"/>
  </r>
  <r>
    <x v="2"/>
  </r>
  <r>
    <x v="2"/>
  </r>
  <r>
    <x v="1"/>
  </r>
  <r>
    <x v="4"/>
  </r>
  <r>
    <x v="4"/>
  </r>
  <r>
    <x v="2"/>
  </r>
  <r>
    <x v="0"/>
  </r>
  <r>
    <x v="4"/>
  </r>
  <r>
    <x v="1"/>
  </r>
  <r>
    <x v="4"/>
  </r>
  <r>
    <x v="3"/>
  </r>
  <r>
    <x v="4"/>
  </r>
  <r>
    <x v="3"/>
  </r>
  <r>
    <x v="1"/>
  </r>
  <r>
    <x v="0"/>
  </r>
  <r>
    <x v="4"/>
  </r>
  <r>
    <x v="3"/>
  </r>
  <r>
    <x v="4"/>
  </r>
  <r>
    <x v="2"/>
  </r>
  <r>
    <x v="2"/>
  </r>
  <r>
    <x v="2"/>
  </r>
  <r>
    <x v="3"/>
  </r>
  <r>
    <x v="0"/>
  </r>
  <r>
    <x v="0"/>
  </r>
  <r>
    <x v="4"/>
  </r>
  <r>
    <x v="3"/>
  </r>
  <r>
    <x v="2"/>
  </r>
  <r>
    <x v="3"/>
  </r>
  <r>
    <x v="2"/>
  </r>
  <r>
    <x v="2"/>
  </r>
  <r>
    <x v="4"/>
  </r>
  <r>
    <x v="4"/>
  </r>
  <r>
    <x v="4"/>
  </r>
  <r>
    <x v="0"/>
  </r>
  <r>
    <x v="3"/>
  </r>
  <r>
    <x v="4"/>
  </r>
  <r>
    <x v="3"/>
  </r>
  <r>
    <x v="2"/>
  </r>
  <r>
    <x v="2"/>
  </r>
  <r>
    <x v="3"/>
  </r>
  <r>
    <x v="4"/>
  </r>
  <r>
    <x v="1"/>
  </r>
  <r>
    <x v="3"/>
  </r>
  <r>
    <x v="0"/>
  </r>
  <r>
    <x v="4"/>
  </r>
  <r>
    <x v="2"/>
  </r>
  <r>
    <x v="4"/>
  </r>
  <r>
    <x v="3"/>
  </r>
  <r>
    <x v="2"/>
  </r>
  <r>
    <x v="2"/>
  </r>
  <r>
    <x v="4"/>
  </r>
  <r>
    <x v="0"/>
  </r>
  <r>
    <x v="3"/>
  </r>
  <r>
    <x v="1"/>
  </r>
  <r>
    <x v="4"/>
  </r>
  <r>
    <x v="1"/>
  </r>
  <r>
    <x v="3"/>
  </r>
  <r>
    <x v="2"/>
  </r>
  <r>
    <x v="3"/>
  </r>
  <r>
    <x v="1"/>
  </r>
  <r>
    <x v="2"/>
  </r>
  <r>
    <x v="4"/>
  </r>
  <r>
    <x v="3"/>
  </r>
  <r>
    <x v="1"/>
  </r>
  <r>
    <x v="3"/>
  </r>
  <r>
    <x v="2"/>
  </r>
  <r>
    <x v="1"/>
  </r>
  <r>
    <x v="3"/>
  </r>
  <r>
    <x v="1"/>
  </r>
  <r>
    <x v="1"/>
  </r>
  <r>
    <x v="1"/>
  </r>
  <r>
    <x v="2"/>
  </r>
  <r>
    <x v="1"/>
  </r>
  <r>
    <x v="0"/>
  </r>
  <r>
    <x v="4"/>
  </r>
  <r>
    <x v="1"/>
  </r>
  <r>
    <x v="3"/>
  </r>
  <r>
    <x v="2"/>
  </r>
  <r>
    <x v="2"/>
  </r>
  <r>
    <x v="4"/>
  </r>
  <r>
    <x v="4"/>
  </r>
  <r>
    <x v="1"/>
  </r>
  <r>
    <x v="3"/>
  </r>
  <r>
    <x v="4"/>
  </r>
  <r>
    <x v="3"/>
  </r>
  <r>
    <x v="4"/>
  </r>
  <r>
    <x v="4"/>
  </r>
  <r>
    <x v="2"/>
  </r>
  <r>
    <x v="3"/>
  </r>
  <r>
    <x v="3"/>
  </r>
  <r>
    <x v="4"/>
  </r>
  <r>
    <x v="2"/>
  </r>
  <r>
    <x v="2"/>
  </r>
  <r>
    <x v="2"/>
  </r>
  <r>
    <x v="2"/>
  </r>
  <r>
    <x v="2"/>
  </r>
  <r>
    <x v="4"/>
  </r>
  <r>
    <x v="1"/>
  </r>
  <r>
    <x v="2"/>
  </r>
  <r>
    <x v="3"/>
  </r>
  <r>
    <x v="1"/>
  </r>
  <r>
    <x v="4"/>
  </r>
  <r>
    <x v="3"/>
  </r>
  <r>
    <x v="0"/>
  </r>
  <r>
    <x v="0"/>
  </r>
  <r>
    <x v="1"/>
  </r>
  <r>
    <x v="0"/>
  </r>
  <r>
    <x v="1"/>
  </r>
  <r>
    <x v="1"/>
  </r>
  <r>
    <x v="4"/>
  </r>
  <r>
    <x v="1"/>
  </r>
  <r>
    <x v="4"/>
  </r>
  <r>
    <x v="3"/>
  </r>
  <r>
    <x v="1"/>
  </r>
  <r>
    <x v="1"/>
  </r>
  <r>
    <x v="2"/>
  </r>
  <r>
    <x v="3"/>
  </r>
  <r>
    <x v="2"/>
  </r>
  <r>
    <x v="0"/>
  </r>
  <r>
    <x v="2"/>
  </r>
  <r>
    <x v="2"/>
  </r>
  <r>
    <x v="2"/>
  </r>
  <r>
    <x v="3"/>
  </r>
  <r>
    <x v="0"/>
  </r>
  <r>
    <x v="3"/>
  </r>
  <r>
    <x v="3"/>
  </r>
  <r>
    <x v="4"/>
  </r>
  <r>
    <x v="4"/>
  </r>
  <r>
    <x v="0"/>
  </r>
  <r>
    <x v="2"/>
  </r>
  <r>
    <x v="0"/>
  </r>
  <r>
    <x v="1"/>
  </r>
  <r>
    <x v="3"/>
  </r>
  <r>
    <x v="4"/>
  </r>
  <r>
    <x v="1"/>
  </r>
  <r>
    <x v="3"/>
  </r>
  <r>
    <x v="3"/>
  </r>
  <r>
    <x v="4"/>
  </r>
  <r>
    <x v="1"/>
  </r>
  <r>
    <x v="2"/>
  </r>
  <r>
    <x v="3"/>
  </r>
  <r>
    <x v="1"/>
  </r>
  <r>
    <x v="0"/>
  </r>
  <r>
    <x v="0"/>
  </r>
  <r>
    <x v="1"/>
  </r>
  <r>
    <x v="1"/>
  </r>
  <r>
    <x v="1"/>
  </r>
  <r>
    <x v="4"/>
  </r>
  <r>
    <x v="2"/>
  </r>
  <r>
    <x v="3"/>
  </r>
  <r>
    <x v="0"/>
  </r>
  <r>
    <x v="0"/>
  </r>
  <r>
    <x v="3"/>
  </r>
  <r>
    <x v="4"/>
  </r>
  <r>
    <x v="2"/>
  </r>
  <r>
    <x v="3"/>
  </r>
  <r>
    <x v="0"/>
  </r>
  <r>
    <x v="0"/>
  </r>
  <r>
    <x v="4"/>
  </r>
  <r>
    <x v="3"/>
  </r>
  <r>
    <x v="4"/>
  </r>
  <r>
    <x v="1"/>
  </r>
  <r>
    <x v="3"/>
  </r>
  <r>
    <x v="3"/>
  </r>
  <r>
    <x v="3"/>
  </r>
  <r>
    <x v="3"/>
  </r>
  <r>
    <x v="4"/>
  </r>
  <r>
    <x v="0"/>
  </r>
  <r>
    <x v="3"/>
  </r>
  <r>
    <x v="3"/>
  </r>
  <r>
    <x v="3"/>
  </r>
  <r>
    <x v="4"/>
  </r>
  <r>
    <x v="4"/>
  </r>
  <r>
    <x v="1"/>
  </r>
  <r>
    <x v="0"/>
  </r>
  <r>
    <x v="0"/>
  </r>
  <r>
    <x v="4"/>
  </r>
  <r>
    <x v="3"/>
  </r>
  <r>
    <x v="3"/>
  </r>
  <r>
    <x v="0"/>
  </r>
  <r>
    <x v="0"/>
  </r>
  <r>
    <x v="2"/>
  </r>
  <r>
    <x v="3"/>
  </r>
  <r>
    <x v="4"/>
  </r>
  <r>
    <x v="1"/>
  </r>
  <r>
    <x v="4"/>
  </r>
  <r>
    <x v="2"/>
  </r>
  <r>
    <x v="0"/>
  </r>
  <r>
    <x v="4"/>
  </r>
  <r>
    <x v="1"/>
  </r>
  <r>
    <x v="4"/>
  </r>
  <r>
    <x v="0"/>
  </r>
  <r>
    <x v="3"/>
  </r>
  <r>
    <x v="0"/>
  </r>
  <r>
    <x v="4"/>
  </r>
  <r>
    <x v="4"/>
  </r>
  <r>
    <x v="2"/>
  </r>
  <r>
    <x v="1"/>
  </r>
  <r>
    <x v="4"/>
  </r>
  <r>
    <x v="1"/>
  </r>
  <r>
    <x v="4"/>
  </r>
  <r>
    <x v="2"/>
  </r>
  <r>
    <x v="1"/>
  </r>
  <r>
    <x v="1"/>
  </r>
  <r>
    <x v="0"/>
  </r>
  <r>
    <x v="3"/>
  </r>
  <r>
    <x v="1"/>
  </r>
  <r>
    <x v="2"/>
  </r>
  <r>
    <x v="2"/>
  </r>
  <r>
    <x v="2"/>
  </r>
  <r>
    <x v="0"/>
  </r>
  <r>
    <x v="2"/>
  </r>
  <r>
    <x v="2"/>
  </r>
  <r>
    <x v="3"/>
  </r>
  <r>
    <x v="0"/>
  </r>
  <r>
    <x v="2"/>
  </r>
  <r>
    <x v="1"/>
  </r>
  <r>
    <x v="4"/>
  </r>
  <r>
    <x v="4"/>
  </r>
  <r>
    <x v="2"/>
  </r>
  <r>
    <x v="0"/>
  </r>
  <r>
    <x v="3"/>
  </r>
  <r>
    <x v="0"/>
  </r>
  <r>
    <x v="2"/>
  </r>
  <r>
    <x v="4"/>
  </r>
  <r>
    <x v="2"/>
  </r>
  <r>
    <x v="1"/>
  </r>
  <r>
    <x v="3"/>
  </r>
  <r>
    <x v="0"/>
  </r>
  <r>
    <x v="0"/>
  </r>
  <r>
    <x v="3"/>
  </r>
  <r>
    <x v="3"/>
  </r>
  <r>
    <x v="1"/>
  </r>
  <r>
    <x v="1"/>
  </r>
  <r>
    <x v="3"/>
  </r>
  <r>
    <x v="1"/>
  </r>
  <r>
    <x v="1"/>
  </r>
  <r>
    <x v="4"/>
  </r>
  <r>
    <x v="2"/>
  </r>
  <r>
    <x v="3"/>
  </r>
  <r>
    <x v="0"/>
  </r>
  <r>
    <x v="0"/>
  </r>
  <r>
    <x v="2"/>
  </r>
  <r>
    <x v="1"/>
  </r>
  <r>
    <x v="4"/>
  </r>
  <r>
    <x v="2"/>
  </r>
  <r>
    <x v="2"/>
  </r>
  <r>
    <x v="4"/>
  </r>
  <r>
    <x v="0"/>
  </r>
  <r>
    <x v="0"/>
  </r>
  <r>
    <x v="0"/>
  </r>
  <r>
    <x v="3"/>
  </r>
  <r>
    <x v="2"/>
  </r>
  <r>
    <x v="3"/>
  </r>
  <r>
    <x v="2"/>
  </r>
  <r>
    <x v="4"/>
  </r>
  <r>
    <x v="0"/>
  </r>
  <r>
    <x v="3"/>
  </r>
  <r>
    <x v="0"/>
  </r>
  <r>
    <x v="1"/>
  </r>
  <r>
    <x v="1"/>
  </r>
  <r>
    <x v="1"/>
  </r>
  <r>
    <x v="2"/>
  </r>
  <r>
    <x v="0"/>
  </r>
  <r>
    <x v="0"/>
  </r>
  <r>
    <x v="3"/>
  </r>
  <r>
    <x v="1"/>
  </r>
  <r>
    <x v="3"/>
  </r>
  <r>
    <x v="4"/>
  </r>
  <r>
    <x v="1"/>
  </r>
  <r>
    <x v="2"/>
  </r>
  <r>
    <x v="2"/>
  </r>
  <r>
    <x v="4"/>
  </r>
  <r>
    <x v="3"/>
  </r>
  <r>
    <x v="3"/>
  </r>
  <r>
    <x v="3"/>
  </r>
  <r>
    <x v="4"/>
  </r>
  <r>
    <x v="0"/>
  </r>
  <r>
    <x v="0"/>
  </r>
  <r>
    <x v="0"/>
  </r>
  <r>
    <x v="3"/>
  </r>
  <r>
    <x v="4"/>
  </r>
  <r>
    <x v="4"/>
  </r>
  <r>
    <x v="1"/>
  </r>
  <r>
    <x v="4"/>
  </r>
  <r>
    <x v="4"/>
  </r>
  <r>
    <x v="1"/>
  </r>
  <r>
    <x v="4"/>
  </r>
  <r>
    <x v="3"/>
  </r>
  <r>
    <x v="3"/>
  </r>
  <r>
    <x v="4"/>
  </r>
  <r>
    <x v="3"/>
  </r>
  <r>
    <x v="3"/>
  </r>
  <r>
    <x v="1"/>
  </r>
  <r>
    <x v="4"/>
  </r>
  <r>
    <x v="3"/>
  </r>
  <r>
    <x v="0"/>
  </r>
  <r>
    <x v="4"/>
  </r>
  <r>
    <x v="0"/>
  </r>
  <r>
    <x v="4"/>
  </r>
  <r>
    <x v="2"/>
  </r>
  <r>
    <x v="3"/>
  </r>
  <r>
    <x v="4"/>
  </r>
  <r>
    <x v="3"/>
  </r>
  <r>
    <x v="3"/>
  </r>
  <r>
    <x v="1"/>
  </r>
  <r>
    <x v="0"/>
  </r>
  <r>
    <x v="2"/>
  </r>
  <r>
    <x v="1"/>
  </r>
  <r>
    <x v="2"/>
  </r>
  <r>
    <x v="0"/>
  </r>
  <r>
    <x v="3"/>
  </r>
  <r>
    <x v="3"/>
  </r>
  <r>
    <x v="3"/>
  </r>
  <r>
    <x v="2"/>
  </r>
  <r>
    <x v="3"/>
  </r>
  <r>
    <x v="1"/>
  </r>
  <r>
    <x v="0"/>
  </r>
  <r>
    <x v="0"/>
  </r>
  <r>
    <x v="4"/>
  </r>
  <r>
    <x v="3"/>
  </r>
  <r>
    <x v="3"/>
  </r>
  <r>
    <x v="2"/>
  </r>
  <r>
    <x v="1"/>
  </r>
  <r>
    <x v="0"/>
  </r>
  <r>
    <x v="3"/>
  </r>
  <r>
    <x v="4"/>
  </r>
  <r>
    <x v="3"/>
  </r>
  <r>
    <x v="3"/>
  </r>
  <r>
    <x v="1"/>
  </r>
  <r>
    <x v="1"/>
  </r>
  <r>
    <x v="0"/>
  </r>
  <r>
    <x v="4"/>
  </r>
  <r>
    <x v="2"/>
  </r>
  <r>
    <x v="1"/>
  </r>
  <r>
    <x v="3"/>
  </r>
  <r>
    <x v="0"/>
  </r>
  <r>
    <x v="0"/>
  </r>
  <r>
    <x v="0"/>
  </r>
  <r>
    <x v="3"/>
  </r>
  <r>
    <x v="2"/>
  </r>
  <r>
    <x v="0"/>
  </r>
  <r>
    <x v="0"/>
  </r>
  <r>
    <x v="0"/>
  </r>
  <r>
    <x v="0"/>
  </r>
  <r>
    <x v="2"/>
  </r>
  <r>
    <x v="0"/>
  </r>
  <r>
    <x v="0"/>
  </r>
  <r>
    <x v="4"/>
  </r>
  <r>
    <x v="3"/>
  </r>
  <r>
    <x v="3"/>
  </r>
  <r>
    <x v="4"/>
  </r>
  <r>
    <x v="0"/>
  </r>
  <r>
    <x v="2"/>
  </r>
  <r>
    <x v="2"/>
  </r>
  <r>
    <x v="0"/>
  </r>
  <r>
    <x v="0"/>
  </r>
  <r>
    <x v="1"/>
  </r>
  <r>
    <x v="0"/>
  </r>
  <r>
    <x v="2"/>
  </r>
  <r>
    <x v="3"/>
  </r>
  <r>
    <x v="1"/>
  </r>
  <r>
    <x v="2"/>
  </r>
  <r>
    <x v="0"/>
  </r>
  <r>
    <x v="2"/>
  </r>
  <r>
    <x v="4"/>
  </r>
  <r>
    <x v="0"/>
  </r>
  <r>
    <x v="1"/>
  </r>
  <r>
    <x v="2"/>
  </r>
  <r>
    <x v="2"/>
  </r>
  <r>
    <x v="3"/>
  </r>
  <r>
    <x v="0"/>
  </r>
  <r>
    <x v="1"/>
  </r>
  <r>
    <x v="2"/>
  </r>
  <r>
    <x v="3"/>
  </r>
  <r>
    <x v="3"/>
  </r>
  <r>
    <x v="4"/>
  </r>
  <r>
    <x v="4"/>
  </r>
  <r>
    <x v="3"/>
  </r>
  <r>
    <x v="4"/>
  </r>
  <r>
    <x v="0"/>
  </r>
  <r>
    <x v="4"/>
  </r>
  <r>
    <x v="0"/>
  </r>
  <r>
    <x v="0"/>
  </r>
  <r>
    <x v="0"/>
  </r>
  <r>
    <x v="2"/>
  </r>
  <r>
    <x v="4"/>
  </r>
  <r>
    <x v="3"/>
  </r>
  <r>
    <x v="2"/>
  </r>
  <r>
    <x v="0"/>
  </r>
  <r>
    <x v="3"/>
  </r>
  <r>
    <x v="2"/>
  </r>
  <r>
    <x v="0"/>
  </r>
  <r>
    <x v="3"/>
  </r>
  <r>
    <x v="1"/>
  </r>
  <r>
    <x v="1"/>
  </r>
  <r>
    <x v="4"/>
  </r>
  <r>
    <x v="0"/>
  </r>
  <r>
    <x v="3"/>
  </r>
  <r>
    <x v="0"/>
  </r>
  <r>
    <x v="1"/>
  </r>
  <r>
    <x v="1"/>
  </r>
  <r>
    <x v="1"/>
  </r>
  <r>
    <x v="1"/>
  </r>
  <r>
    <x v="2"/>
  </r>
  <r>
    <x v="0"/>
  </r>
  <r>
    <x v="1"/>
  </r>
  <r>
    <x v="3"/>
  </r>
  <r>
    <x v="3"/>
  </r>
  <r>
    <x v="1"/>
  </r>
  <r>
    <x v="2"/>
  </r>
  <r>
    <x v="3"/>
  </r>
  <r>
    <x v="0"/>
  </r>
  <r>
    <x v="2"/>
  </r>
  <r>
    <x v="3"/>
  </r>
  <r>
    <x v="4"/>
  </r>
  <r>
    <x v="2"/>
  </r>
  <r>
    <x v="2"/>
  </r>
  <r>
    <x v="0"/>
  </r>
  <r>
    <x v="2"/>
  </r>
  <r>
    <x v="1"/>
  </r>
  <r>
    <x v="3"/>
  </r>
  <r>
    <x v="0"/>
  </r>
  <r>
    <x v="1"/>
  </r>
  <r>
    <x v="4"/>
  </r>
  <r>
    <x v="2"/>
  </r>
  <r>
    <x v="4"/>
  </r>
  <r>
    <x v="1"/>
  </r>
  <r>
    <x v="2"/>
  </r>
  <r>
    <x v="1"/>
  </r>
  <r>
    <x v="0"/>
  </r>
  <r>
    <x v="4"/>
  </r>
  <r>
    <x v="4"/>
  </r>
  <r>
    <x v="4"/>
  </r>
  <r>
    <x v="1"/>
  </r>
  <r>
    <x v="1"/>
  </r>
  <r>
    <x v="1"/>
  </r>
  <r>
    <x v="2"/>
  </r>
  <r>
    <x v="4"/>
  </r>
  <r>
    <x v="1"/>
  </r>
  <r>
    <x v="3"/>
  </r>
  <r>
    <x v="4"/>
  </r>
  <r>
    <x v="4"/>
  </r>
  <r>
    <x v="2"/>
  </r>
  <r>
    <x v="4"/>
  </r>
  <r>
    <x v="1"/>
  </r>
  <r>
    <x v="1"/>
  </r>
  <r>
    <x v="0"/>
  </r>
  <r>
    <x v="0"/>
  </r>
  <r>
    <x v="4"/>
  </r>
  <r>
    <x v="3"/>
  </r>
  <r>
    <x v="0"/>
  </r>
  <r>
    <x v="3"/>
  </r>
  <r>
    <x v="4"/>
  </r>
  <r>
    <x v="2"/>
  </r>
  <r>
    <x v="0"/>
  </r>
  <r>
    <x v="1"/>
  </r>
  <r>
    <x v="3"/>
  </r>
  <r>
    <x v="2"/>
  </r>
  <r>
    <x v="3"/>
  </r>
  <r>
    <x v="4"/>
  </r>
  <r>
    <x v="3"/>
  </r>
  <r>
    <x v="4"/>
  </r>
  <r>
    <x v="3"/>
  </r>
  <r>
    <x v="1"/>
  </r>
  <r>
    <x v="2"/>
  </r>
  <r>
    <x v="3"/>
  </r>
  <r>
    <x v="4"/>
  </r>
  <r>
    <x v="0"/>
  </r>
  <r>
    <x v="2"/>
  </r>
  <r>
    <x v="2"/>
  </r>
  <r>
    <x v="1"/>
  </r>
  <r>
    <x v="0"/>
  </r>
  <r>
    <x v="1"/>
  </r>
  <r>
    <x v="1"/>
  </r>
  <r>
    <x v="4"/>
  </r>
  <r>
    <x v="4"/>
  </r>
  <r>
    <x v="2"/>
  </r>
  <r>
    <x v="0"/>
  </r>
  <r>
    <x v="2"/>
  </r>
  <r>
    <x v="2"/>
  </r>
  <r>
    <x v="0"/>
  </r>
  <r>
    <x v="3"/>
  </r>
  <r>
    <x v="0"/>
  </r>
  <r>
    <x v="1"/>
  </r>
  <r>
    <x v="0"/>
  </r>
  <r>
    <x v="4"/>
  </r>
  <r>
    <x v="4"/>
  </r>
  <r>
    <x v="2"/>
  </r>
  <r>
    <x v="4"/>
  </r>
  <r>
    <x v="1"/>
  </r>
  <r>
    <x v="1"/>
  </r>
  <r>
    <x v="3"/>
  </r>
  <r>
    <x v="1"/>
  </r>
  <r>
    <x v="2"/>
  </r>
  <r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201">
  <r>
    <x v="0"/>
  </r>
  <r>
    <x v="0"/>
  </r>
  <r>
    <x v="1"/>
  </r>
  <r>
    <x v="0"/>
  </r>
  <r>
    <x v="0"/>
  </r>
  <r>
    <x v="0"/>
  </r>
  <r>
    <x v="0"/>
  </r>
  <r>
    <x v="1"/>
  </r>
  <r>
    <x v="2"/>
  </r>
  <r>
    <x v="0"/>
  </r>
  <r>
    <x v="3"/>
  </r>
  <r>
    <x v="0"/>
  </r>
  <r>
    <x v="1"/>
  </r>
  <r>
    <x v="1"/>
  </r>
  <r>
    <x v="0"/>
  </r>
  <r>
    <x v="2"/>
  </r>
  <r>
    <x v="1"/>
  </r>
  <r>
    <x v="2"/>
  </r>
  <r>
    <x v="0"/>
  </r>
  <r>
    <x v="0"/>
  </r>
  <r>
    <x v="3"/>
  </r>
  <r>
    <x v="2"/>
  </r>
  <r>
    <x v="0"/>
  </r>
  <r>
    <x v="1"/>
  </r>
  <r>
    <x v="3"/>
  </r>
  <r>
    <x v="3"/>
  </r>
  <r>
    <x v="2"/>
  </r>
  <r>
    <x v="3"/>
  </r>
  <r>
    <x v="2"/>
  </r>
  <r>
    <x v="0"/>
  </r>
  <r>
    <x v="0"/>
  </r>
  <r>
    <x v="2"/>
  </r>
  <r>
    <x v="2"/>
  </r>
  <r>
    <x v="3"/>
  </r>
  <r>
    <x v="3"/>
  </r>
  <r>
    <x v="0"/>
  </r>
  <r>
    <x v="2"/>
  </r>
  <r>
    <x v="0"/>
  </r>
  <r>
    <x v="0"/>
  </r>
  <r>
    <x v="0"/>
  </r>
  <r>
    <x v="1"/>
  </r>
  <r>
    <x v="1"/>
  </r>
  <r>
    <x v="2"/>
  </r>
  <r>
    <x v="2"/>
  </r>
  <r>
    <x v="1"/>
  </r>
  <r>
    <x v="0"/>
  </r>
  <r>
    <x v="1"/>
  </r>
  <r>
    <x v="1"/>
  </r>
  <r>
    <x v="2"/>
  </r>
  <r>
    <x v="0"/>
  </r>
  <r>
    <x v="1"/>
  </r>
  <r>
    <x v="0"/>
  </r>
  <r>
    <x v="0"/>
  </r>
  <r>
    <x v="1"/>
  </r>
  <r>
    <x v="3"/>
  </r>
  <r>
    <x v="2"/>
  </r>
  <r>
    <x v="3"/>
  </r>
  <r>
    <x v="0"/>
  </r>
  <r>
    <x v="0"/>
  </r>
  <r>
    <x v="2"/>
  </r>
  <r>
    <x v="1"/>
  </r>
  <r>
    <x v="1"/>
  </r>
  <r>
    <x v="3"/>
  </r>
  <r>
    <x v="3"/>
  </r>
  <r>
    <x v="1"/>
  </r>
  <r>
    <x v="2"/>
  </r>
  <r>
    <x v="0"/>
  </r>
  <r>
    <x v="2"/>
  </r>
  <r>
    <x v="1"/>
  </r>
  <r>
    <x v="2"/>
  </r>
  <r>
    <x v="1"/>
  </r>
  <r>
    <x v="2"/>
  </r>
  <r>
    <x v="2"/>
  </r>
  <r>
    <x v="2"/>
  </r>
  <r>
    <x v="2"/>
  </r>
  <r>
    <x v="0"/>
  </r>
  <r>
    <x v="3"/>
  </r>
  <r>
    <x v="2"/>
  </r>
  <r>
    <x v="1"/>
  </r>
  <r>
    <x v="2"/>
  </r>
  <r>
    <x v="2"/>
  </r>
  <r>
    <x v="1"/>
  </r>
  <r>
    <x v="0"/>
  </r>
  <r>
    <x v="2"/>
  </r>
  <r>
    <x v="3"/>
  </r>
  <r>
    <x v="1"/>
  </r>
  <r>
    <x v="1"/>
  </r>
  <r>
    <x v="0"/>
  </r>
  <r>
    <x v="2"/>
  </r>
  <r>
    <x v="1"/>
  </r>
  <r>
    <x v="0"/>
  </r>
  <r>
    <x v="3"/>
  </r>
  <r>
    <x v="1"/>
  </r>
  <r>
    <x v="2"/>
  </r>
  <r>
    <x v="3"/>
  </r>
  <r>
    <x v="2"/>
  </r>
  <r>
    <x v="2"/>
  </r>
  <r>
    <x v="2"/>
  </r>
  <r>
    <x v="2"/>
  </r>
  <r>
    <x v="3"/>
  </r>
  <r>
    <x v="2"/>
  </r>
  <r>
    <x v="2"/>
  </r>
  <r>
    <x v="1"/>
  </r>
  <r>
    <x v="0"/>
  </r>
  <r>
    <x v="1"/>
  </r>
  <r>
    <x v="2"/>
  </r>
  <r>
    <x v="0"/>
  </r>
  <r>
    <x v="1"/>
  </r>
  <r>
    <x v="3"/>
  </r>
  <r>
    <x v="1"/>
  </r>
  <r>
    <x v="1"/>
  </r>
  <r>
    <x v="1"/>
  </r>
  <r>
    <x v="3"/>
  </r>
  <r>
    <x v="1"/>
  </r>
  <r>
    <x v="0"/>
  </r>
  <r>
    <x v="0"/>
  </r>
  <r>
    <x v="3"/>
  </r>
  <r>
    <x v="3"/>
  </r>
  <r>
    <x v="1"/>
  </r>
  <r>
    <x v="1"/>
  </r>
  <r>
    <x v="3"/>
  </r>
  <r>
    <x v="1"/>
  </r>
  <r>
    <x v="2"/>
  </r>
  <r>
    <x v="2"/>
  </r>
  <r>
    <x v="2"/>
  </r>
  <r>
    <x v="0"/>
  </r>
  <r>
    <x v="1"/>
  </r>
  <r>
    <x v="2"/>
  </r>
  <r>
    <x v="1"/>
  </r>
  <r>
    <x v="1"/>
  </r>
  <r>
    <x v="3"/>
  </r>
  <r>
    <x v="2"/>
  </r>
  <r>
    <x v="3"/>
  </r>
  <r>
    <x v="0"/>
  </r>
  <r>
    <x v="2"/>
  </r>
  <r>
    <x v="0"/>
  </r>
  <r>
    <x v="0"/>
  </r>
  <r>
    <x v="2"/>
  </r>
  <r>
    <x v="3"/>
  </r>
  <r>
    <x v="2"/>
  </r>
  <r>
    <x v="1"/>
  </r>
  <r>
    <x v="3"/>
  </r>
  <r>
    <x v="3"/>
  </r>
  <r>
    <x v="2"/>
  </r>
  <r>
    <x v="2"/>
  </r>
  <r>
    <x v="1"/>
  </r>
  <r>
    <x v="2"/>
  </r>
  <r>
    <x v="0"/>
  </r>
  <r>
    <x v="3"/>
  </r>
  <r>
    <x v="2"/>
  </r>
  <r>
    <x v="3"/>
  </r>
  <r>
    <x v="2"/>
  </r>
  <r>
    <x v="1"/>
  </r>
  <r>
    <x v="3"/>
  </r>
  <r>
    <x v="2"/>
  </r>
  <r>
    <x v="3"/>
  </r>
  <r>
    <x v="0"/>
  </r>
  <r>
    <x v="3"/>
  </r>
  <r>
    <x v="3"/>
  </r>
  <r>
    <x v="3"/>
  </r>
  <r>
    <x v="2"/>
  </r>
  <r>
    <x v="0"/>
  </r>
  <r>
    <x v="3"/>
  </r>
  <r>
    <x v="2"/>
  </r>
  <r>
    <x v="0"/>
  </r>
  <r>
    <x v="3"/>
  </r>
  <r>
    <x v="3"/>
  </r>
  <r>
    <x v="3"/>
  </r>
  <r>
    <x v="2"/>
  </r>
  <r>
    <x v="3"/>
  </r>
  <r>
    <x v="0"/>
  </r>
  <r>
    <x v="3"/>
  </r>
  <r>
    <x v="3"/>
  </r>
  <r>
    <x v="1"/>
  </r>
  <r>
    <x v="0"/>
  </r>
  <r>
    <x v="3"/>
  </r>
  <r>
    <x v="3"/>
  </r>
  <r>
    <x v="2"/>
  </r>
  <r>
    <x v="0"/>
  </r>
  <r>
    <x v="2"/>
  </r>
  <r>
    <x v="2"/>
  </r>
  <r>
    <x v="2"/>
  </r>
  <r>
    <x v="3"/>
  </r>
  <r>
    <x v="0"/>
  </r>
  <r>
    <x v="2"/>
  </r>
  <r>
    <x v="3"/>
  </r>
  <r>
    <x v="1"/>
  </r>
  <r>
    <x v="1"/>
  </r>
  <r>
    <x v="1"/>
  </r>
  <r>
    <x v="3"/>
  </r>
  <r>
    <x v="0"/>
  </r>
  <r>
    <x v="1"/>
  </r>
  <r>
    <x v="0"/>
  </r>
  <r>
    <x v="2"/>
  </r>
  <r>
    <x v="1"/>
  </r>
  <r>
    <x v="2"/>
  </r>
  <r>
    <x v="3"/>
  </r>
  <r>
    <x v="3"/>
  </r>
  <r>
    <x v="0"/>
  </r>
  <r>
    <x v="3"/>
  </r>
  <r>
    <x v="0"/>
  </r>
  <r>
    <x v="0"/>
  </r>
  <r>
    <x v="1"/>
  </r>
  <r>
    <x v="0"/>
  </r>
  <r>
    <x v="1"/>
  </r>
  <r>
    <x v="2"/>
  </r>
  <r>
    <x v="3"/>
  </r>
  <r>
    <x v="2"/>
  </r>
  <r>
    <x v="1"/>
  </r>
  <r>
    <x v="0"/>
  </r>
  <r>
    <x v="1"/>
  </r>
  <r>
    <x v="1"/>
  </r>
  <r>
    <x v="3"/>
  </r>
  <r>
    <x v="0"/>
  </r>
  <r>
    <x v="2"/>
  </r>
  <r>
    <x v="1"/>
  </r>
  <r>
    <x v="3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3"/>
  </r>
  <r>
    <x v="3"/>
  </r>
  <r>
    <x v="1"/>
  </r>
  <r>
    <x v="3"/>
  </r>
  <r>
    <x v="3"/>
  </r>
  <r>
    <x v="0"/>
  </r>
  <r>
    <x v="3"/>
  </r>
  <r>
    <x v="3"/>
  </r>
  <r>
    <x v="1"/>
  </r>
  <r>
    <x v="3"/>
  </r>
  <r>
    <x v="1"/>
  </r>
  <r>
    <x v="1"/>
  </r>
  <r>
    <x v="0"/>
  </r>
  <r>
    <x v="0"/>
  </r>
  <r>
    <x v="1"/>
  </r>
  <r>
    <x v="3"/>
  </r>
  <r>
    <x v="2"/>
  </r>
  <r>
    <x v="3"/>
  </r>
  <r>
    <x v="2"/>
  </r>
  <r>
    <x v="1"/>
  </r>
  <r>
    <x v="1"/>
  </r>
  <r>
    <x v="0"/>
  </r>
  <r>
    <x v="2"/>
  </r>
  <r>
    <x v="1"/>
  </r>
  <r>
    <x v="1"/>
  </r>
  <r>
    <x v="2"/>
  </r>
  <r>
    <x v="0"/>
  </r>
  <r>
    <x v="3"/>
  </r>
  <r>
    <x v="0"/>
  </r>
  <r>
    <x v="1"/>
  </r>
  <r>
    <x v="0"/>
  </r>
  <r>
    <x v="2"/>
  </r>
  <r>
    <x v="0"/>
  </r>
  <r>
    <x v="3"/>
  </r>
  <r>
    <x v="3"/>
  </r>
  <r>
    <x v="1"/>
  </r>
  <r>
    <x v="0"/>
  </r>
  <r>
    <x v="1"/>
  </r>
  <r>
    <x v="2"/>
  </r>
  <r>
    <x v="0"/>
  </r>
  <r>
    <x v="1"/>
  </r>
  <r>
    <x v="3"/>
  </r>
  <r>
    <x v="3"/>
  </r>
  <r>
    <x v="3"/>
  </r>
  <r>
    <x v="1"/>
  </r>
  <r>
    <x v="0"/>
  </r>
  <r>
    <x v="0"/>
  </r>
  <r>
    <x v="3"/>
  </r>
  <r>
    <x v="0"/>
  </r>
  <r>
    <x v="1"/>
  </r>
  <r>
    <x v="3"/>
  </r>
  <r>
    <x v="1"/>
  </r>
  <r>
    <x v="2"/>
  </r>
  <r>
    <x v="1"/>
  </r>
  <r>
    <x v="2"/>
  </r>
  <r>
    <x v="0"/>
  </r>
  <r>
    <x v="2"/>
  </r>
  <r>
    <x v="3"/>
  </r>
  <r>
    <x v="2"/>
  </r>
  <r>
    <x v="3"/>
  </r>
  <r>
    <x v="3"/>
  </r>
  <r>
    <x v="1"/>
  </r>
  <r>
    <x v="1"/>
  </r>
  <r>
    <x v="2"/>
  </r>
  <r>
    <x v="2"/>
  </r>
  <r>
    <x v="0"/>
  </r>
  <r>
    <x v="1"/>
  </r>
  <r>
    <x v="3"/>
  </r>
  <r>
    <x v="0"/>
  </r>
  <r>
    <x v="2"/>
  </r>
  <r>
    <x v="1"/>
  </r>
  <r>
    <x v="1"/>
  </r>
  <r>
    <x v="0"/>
  </r>
  <r>
    <x v="1"/>
  </r>
  <r>
    <x v="2"/>
  </r>
  <r>
    <x v="1"/>
  </r>
  <r>
    <x v="1"/>
  </r>
  <r>
    <x v="0"/>
  </r>
  <r>
    <x v="2"/>
  </r>
  <r>
    <x v="0"/>
  </r>
  <r>
    <x v="1"/>
  </r>
  <r>
    <x v="2"/>
  </r>
  <r>
    <x v="2"/>
  </r>
  <r>
    <x v="1"/>
  </r>
  <r>
    <x v="0"/>
  </r>
  <r>
    <x v="1"/>
  </r>
  <r>
    <x v="1"/>
  </r>
  <r>
    <x v="3"/>
  </r>
  <r>
    <x v="2"/>
  </r>
  <r>
    <x v="0"/>
  </r>
  <r>
    <x v="2"/>
  </r>
  <r>
    <x v="1"/>
  </r>
  <r>
    <x v="3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3"/>
  </r>
  <r>
    <x v="3"/>
  </r>
  <r>
    <x v="2"/>
  </r>
  <r>
    <x v="0"/>
  </r>
  <r>
    <x v="3"/>
  </r>
  <r>
    <x v="2"/>
  </r>
  <r>
    <x v="0"/>
  </r>
  <r>
    <x v="2"/>
  </r>
  <r>
    <x v="3"/>
  </r>
  <r>
    <x v="2"/>
  </r>
  <r>
    <x v="1"/>
  </r>
  <r>
    <x v="0"/>
  </r>
  <r>
    <x v="1"/>
  </r>
  <r>
    <x v="2"/>
  </r>
  <r>
    <x v="0"/>
  </r>
  <r>
    <x v="1"/>
  </r>
  <r>
    <x v="1"/>
  </r>
  <r>
    <x v="2"/>
  </r>
  <r>
    <x v="2"/>
  </r>
  <r>
    <x v="3"/>
  </r>
  <r>
    <x v="1"/>
  </r>
  <r>
    <x v="2"/>
  </r>
  <r>
    <x v="1"/>
  </r>
  <r>
    <x v="1"/>
  </r>
  <r>
    <x v="1"/>
  </r>
  <r>
    <x v="0"/>
  </r>
  <r>
    <x v="3"/>
  </r>
  <r>
    <x v="2"/>
  </r>
  <r>
    <x v="0"/>
  </r>
  <r>
    <x v="3"/>
  </r>
  <r>
    <x v="0"/>
  </r>
  <r>
    <x v="1"/>
  </r>
  <r>
    <x v="0"/>
  </r>
  <r>
    <x v="2"/>
  </r>
  <r>
    <x v="1"/>
  </r>
  <r>
    <x v="2"/>
  </r>
  <r>
    <x v="0"/>
  </r>
  <r>
    <x v="3"/>
  </r>
  <r>
    <x v="1"/>
  </r>
  <r>
    <x v="2"/>
  </r>
  <r>
    <x v="1"/>
  </r>
  <r>
    <x v="3"/>
  </r>
  <r>
    <x v="1"/>
  </r>
  <r>
    <x v="1"/>
  </r>
  <r>
    <x v="3"/>
  </r>
  <r>
    <x v="3"/>
  </r>
  <r>
    <x v="2"/>
  </r>
  <r>
    <x v="0"/>
  </r>
  <r>
    <x v="1"/>
  </r>
  <r>
    <x v="0"/>
  </r>
  <r>
    <x v="0"/>
  </r>
  <r>
    <x v="1"/>
  </r>
  <r>
    <x v="1"/>
  </r>
  <r>
    <x v="2"/>
  </r>
  <r>
    <x v="3"/>
  </r>
  <r>
    <x v="3"/>
  </r>
  <r>
    <x v="1"/>
  </r>
  <r>
    <x v="1"/>
  </r>
  <r>
    <x v="1"/>
  </r>
  <r>
    <x v="3"/>
  </r>
  <r>
    <x v="2"/>
  </r>
  <r>
    <x v="2"/>
  </r>
  <r>
    <x v="0"/>
  </r>
  <r>
    <x v="0"/>
  </r>
  <r>
    <x v="3"/>
  </r>
  <r>
    <x v="0"/>
  </r>
  <r>
    <x v="1"/>
  </r>
  <r>
    <x v="3"/>
  </r>
  <r>
    <x v="2"/>
  </r>
  <r>
    <x v="2"/>
  </r>
  <r>
    <x v="1"/>
  </r>
  <r>
    <x v="2"/>
  </r>
  <r>
    <x v="3"/>
  </r>
  <r>
    <x v="3"/>
  </r>
  <r>
    <x v="1"/>
  </r>
  <r>
    <x v="3"/>
  </r>
  <r>
    <x v="0"/>
  </r>
  <r>
    <x v="2"/>
  </r>
  <r>
    <x v="2"/>
  </r>
  <r>
    <x v="2"/>
  </r>
  <r>
    <x v="0"/>
  </r>
  <r>
    <x v="3"/>
  </r>
  <r>
    <x v="1"/>
  </r>
  <r>
    <x v="3"/>
  </r>
  <r>
    <x v="2"/>
  </r>
  <r>
    <x v="2"/>
  </r>
  <r>
    <x v="1"/>
  </r>
  <r>
    <x v="1"/>
  </r>
  <r>
    <x v="2"/>
  </r>
  <r>
    <x v="3"/>
  </r>
  <r>
    <x v="3"/>
  </r>
  <r>
    <x v="2"/>
  </r>
  <r>
    <x v="3"/>
  </r>
  <r>
    <x v="2"/>
  </r>
  <r>
    <x v="3"/>
  </r>
  <r>
    <x v="3"/>
  </r>
  <r>
    <x v="0"/>
  </r>
  <r>
    <x v="1"/>
  </r>
  <r>
    <x v="3"/>
  </r>
  <r>
    <x v="2"/>
  </r>
  <r>
    <x v="1"/>
  </r>
  <r>
    <x v="2"/>
  </r>
  <r>
    <x v="1"/>
  </r>
  <r>
    <x v="2"/>
  </r>
  <r>
    <x v="1"/>
  </r>
  <r>
    <x v="0"/>
  </r>
  <r>
    <x v="3"/>
  </r>
  <r>
    <x v="0"/>
  </r>
  <r>
    <x v="1"/>
  </r>
  <r>
    <x v="0"/>
  </r>
  <r>
    <x v="2"/>
  </r>
  <r>
    <x v="1"/>
  </r>
  <r>
    <x v="0"/>
  </r>
  <r>
    <x v="1"/>
  </r>
  <r>
    <x v="2"/>
  </r>
  <r>
    <x v="0"/>
  </r>
  <r>
    <x v="2"/>
  </r>
  <r>
    <x v="3"/>
  </r>
  <r>
    <x v="0"/>
  </r>
  <r>
    <x v="0"/>
  </r>
  <r>
    <x v="3"/>
  </r>
  <r>
    <x v="1"/>
  </r>
  <r>
    <x v="0"/>
  </r>
  <r>
    <x v="0"/>
  </r>
  <r>
    <x v="3"/>
  </r>
  <r>
    <x v="3"/>
  </r>
  <r>
    <x v="2"/>
  </r>
  <r>
    <x v="3"/>
  </r>
  <r>
    <x v="1"/>
  </r>
  <r>
    <x v="2"/>
  </r>
  <r>
    <x v="0"/>
  </r>
  <r>
    <x v="1"/>
  </r>
  <r>
    <x v="2"/>
  </r>
  <r>
    <x v="1"/>
  </r>
  <r>
    <x v="3"/>
  </r>
  <r>
    <x v="1"/>
  </r>
  <r>
    <x v="2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3"/>
  </r>
  <r>
    <x v="2"/>
  </r>
  <r>
    <x v="3"/>
  </r>
  <r>
    <x v="2"/>
  </r>
  <r>
    <x v="0"/>
  </r>
  <r>
    <x v="0"/>
  </r>
  <r>
    <x v="0"/>
  </r>
  <r>
    <x v="3"/>
  </r>
  <r>
    <x v="3"/>
  </r>
  <r>
    <x v="2"/>
  </r>
  <r>
    <x v="3"/>
  </r>
  <r>
    <x v="0"/>
  </r>
  <r>
    <x v="1"/>
  </r>
  <r>
    <x v="1"/>
  </r>
  <r>
    <x v="0"/>
  </r>
  <r>
    <x v="0"/>
  </r>
  <r>
    <x v="2"/>
  </r>
  <r>
    <x v="3"/>
  </r>
  <r>
    <x v="0"/>
  </r>
  <r>
    <x v="3"/>
  </r>
  <r>
    <x v="0"/>
  </r>
  <r>
    <x v="0"/>
  </r>
  <r>
    <x v="1"/>
  </r>
  <r>
    <x v="3"/>
  </r>
  <r>
    <x v="2"/>
  </r>
  <r>
    <x v="3"/>
  </r>
  <r>
    <x v="3"/>
  </r>
  <r>
    <x v="2"/>
  </r>
  <r>
    <x v="3"/>
  </r>
  <r>
    <x v="0"/>
  </r>
  <r>
    <x v="3"/>
  </r>
  <r>
    <x v="1"/>
  </r>
  <r>
    <x v="2"/>
  </r>
  <r>
    <x v="3"/>
  </r>
  <r>
    <x v="1"/>
  </r>
  <r>
    <x v="2"/>
  </r>
  <r>
    <x v="1"/>
  </r>
  <r>
    <x v="0"/>
  </r>
  <r>
    <x v="0"/>
  </r>
  <r>
    <x v="2"/>
  </r>
  <r>
    <x v="2"/>
  </r>
  <r>
    <x v="1"/>
  </r>
  <r>
    <x v="3"/>
  </r>
  <r>
    <x v="2"/>
  </r>
  <r>
    <x v="0"/>
  </r>
  <r>
    <x v="3"/>
  </r>
  <r>
    <x v="0"/>
  </r>
  <r>
    <x v="0"/>
  </r>
  <r>
    <x v="1"/>
  </r>
  <r>
    <x v="2"/>
  </r>
  <r>
    <x v="2"/>
  </r>
  <r>
    <x v="2"/>
  </r>
  <r>
    <x v="1"/>
  </r>
  <r>
    <x v="0"/>
  </r>
  <r>
    <x v="1"/>
  </r>
  <r>
    <x v="2"/>
  </r>
  <r>
    <x v="0"/>
  </r>
  <r>
    <x v="3"/>
  </r>
  <r>
    <x v="0"/>
  </r>
  <r>
    <x v="2"/>
  </r>
  <r>
    <x v="2"/>
  </r>
  <r>
    <x v="1"/>
  </r>
  <r>
    <x v="3"/>
  </r>
  <r>
    <x v="1"/>
  </r>
  <r>
    <x v="2"/>
  </r>
  <r>
    <x v="3"/>
  </r>
  <r>
    <x v="1"/>
  </r>
  <r>
    <x v="3"/>
  </r>
  <r>
    <x v="3"/>
  </r>
  <r>
    <x v="1"/>
  </r>
  <r>
    <x v="3"/>
  </r>
  <r>
    <x v="3"/>
  </r>
  <r>
    <x v="1"/>
  </r>
  <r>
    <x v="1"/>
  </r>
  <r>
    <x v="2"/>
  </r>
  <r>
    <x v="0"/>
  </r>
  <r>
    <x v="3"/>
  </r>
  <r>
    <x v="3"/>
  </r>
  <r>
    <x v="3"/>
  </r>
  <r>
    <x v="2"/>
  </r>
  <r>
    <x v="2"/>
  </r>
  <r>
    <x v="1"/>
  </r>
  <r>
    <x v="0"/>
  </r>
  <r>
    <x v="3"/>
  </r>
  <r>
    <x v="2"/>
  </r>
  <r>
    <x v="1"/>
  </r>
  <r>
    <x v="1"/>
  </r>
  <r>
    <x v="2"/>
  </r>
  <r>
    <x v="0"/>
  </r>
  <r>
    <x v="0"/>
  </r>
  <r>
    <x v="3"/>
  </r>
  <r>
    <x v="3"/>
  </r>
  <r>
    <x v="2"/>
  </r>
  <r>
    <x v="1"/>
  </r>
  <r>
    <x v="0"/>
  </r>
  <r>
    <x v="2"/>
  </r>
  <r>
    <x v="3"/>
  </r>
  <r>
    <x v="0"/>
  </r>
  <r>
    <x v="3"/>
  </r>
  <r>
    <x v="0"/>
  </r>
  <r>
    <x v="2"/>
  </r>
  <r>
    <x v="3"/>
  </r>
  <r>
    <x v="2"/>
  </r>
  <r>
    <x v="0"/>
  </r>
  <r>
    <x v="3"/>
  </r>
  <r>
    <x v="1"/>
  </r>
  <r>
    <x v="1"/>
  </r>
  <r>
    <x v="2"/>
  </r>
  <r>
    <x v="1"/>
  </r>
  <r>
    <x v="2"/>
  </r>
  <r>
    <x v="1"/>
  </r>
  <r>
    <x v="2"/>
  </r>
  <r>
    <x v="1"/>
  </r>
  <r>
    <x v="2"/>
  </r>
  <r>
    <x v="0"/>
  </r>
  <r>
    <x v="1"/>
  </r>
  <r>
    <x v="3"/>
  </r>
  <r>
    <x v="2"/>
  </r>
  <r>
    <x v="1"/>
  </r>
  <r>
    <x v="1"/>
  </r>
  <r>
    <x v="2"/>
  </r>
  <r>
    <x v="0"/>
  </r>
  <r>
    <x v="0"/>
  </r>
  <r>
    <x v="2"/>
  </r>
  <r>
    <x v="0"/>
  </r>
  <r>
    <x v="0"/>
  </r>
  <r>
    <x v="0"/>
  </r>
  <r>
    <x v="0"/>
  </r>
  <r>
    <x v="3"/>
  </r>
  <r>
    <x v="1"/>
  </r>
  <r>
    <x v="3"/>
  </r>
  <r>
    <x v="2"/>
  </r>
  <r>
    <x v="3"/>
  </r>
  <r>
    <x v="2"/>
  </r>
  <r>
    <x v="3"/>
  </r>
  <r>
    <x v="0"/>
  </r>
  <r>
    <x v="2"/>
  </r>
  <r>
    <x v="2"/>
  </r>
  <r>
    <x v="2"/>
  </r>
  <r>
    <x v="0"/>
  </r>
  <r>
    <x v="3"/>
  </r>
  <r>
    <x v="2"/>
  </r>
  <r>
    <x v="1"/>
  </r>
  <r>
    <x v="2"/>
  </r>
  <r>
    <x v="3"/>
  </r>
  <r>
    <x v="0"/>
  </r>
  <r>
    <x v="1"/>
  </r>
  <r>
    <x v="1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2"/>
  </r>
  <r>
    <x v="0"/>
  </r>
  <r>
    <x v="3"/>
  </r>
  <r>
    <x v="1"/>
  </r>
  <r>
    <x v="0"/>
  </r>
  <r>
    <x v="3"/>
  </r>
  <r>
    <x v="0"/>
  </r>
  <r>
    <x v="0"/>
  </r>
  <r>
    <x v="1"/>
  </r>
  <r>
    <x v="3"/>
  </r>
  <r>
    <x v="1"/>
  </r>
  <r>
    <x v="0"/>
  </r>
  <r>
    <x v="2"/>
  </r>
  <r>
    <x v="1"/>
  </r>
  <r>
    <x v="3"/>
  </r>
  <r>
    <x v="2"/>
  </r>
  <r>
    <x v="3"/>
  </r>
  <r>
    <x v="0"/>
  </r>
  <r>
    <x v="1"/>
  </r>
  <r>
    <x v="0"/>
  </r>
  <r>
    <x v="3"/>
  </r>
  <r>
    <x v="3"/>
  </r>
  <r>
    <x v="1"/>
  </r>
  <r>
    <x v="2"/>
  </r>
  <r>
    <x v="1"/>
  </r>
  <r>
    <x v="2"/>
  </r>
  <r>
    <x v="3"/>
  </r>
  <r>
    <x v="2"/>
  </r>
  <r>
    <x v="0"/>
  </r>
  <r>
    <x v="3"/>
  </r>
  <r>
    <x v="2"/>
  </r>
  <r>
    <x v="1"/>
  </r>
  <r>
    <x v="3"/>
  </r>
  <r>
    <x v="0"/>
  </r>
  <r>
    <x v="0"/>
  </r>
  <r>
    <x v="0"/>
  </r>
  <r>
    <x v="2"/>
  </r>
  <r>
    <x v="1"/>
  </r>
  <r>
    <x v="1"/>
  </r>
  <r>
    <x v="3"/>
  </r>
  <r>
    <x v="1"/>
  </r>
  <r>
    <x v="2"/>
  </r>
  <r>
    <x v="2"/>
  </r>
  <r>
    <x v="1"/>
  </r>
  <r>
    <x v="1"/>
  </r>
  <r>
    <x v="2"/>
  </r>
  <r>
    <x v="1"/>
  </r>
  <r>
    <x v="3"/>
  </r>
  <r>
    <x v="1"/>
  </r>
  <r>
    <x v="3"/>
  </r>
  <r>
    <x v="2"/>
  </r>
  <r>
    <x v="2"/>
  </r>
  <r>
    <x v="2"/>
  </r>
  <r>
    <x v="3"/>
  </r>
  <r>
    <x v="2"/>
  </r>
  <r>
    <x v="1"/>
  </r>
  <r>
    <x v="1"/>
  </r>
  <r>
    <x v="3"/>
  </r>
  <r>
    <x v="3"/>
  </r>
  <r>
    <x v="3"/>
  </r>
  <r>
    <x v="2"/>
  </r>
  <r>
    <x v="3"/>
  </r>
  <r>
    <x v="1"/>
  </r>
  <r>
    <x v="2"/>
  </r>
  <r>
    <x v="3"/>
  </r>
  <r>
    <x v="1"/>
  </r>
  <r>
    <x v="1"/>
  </r>
  <r>
    <x v="1"/>
  </r>
  <r>
    <x v="0"/>
  </r>
  <r>
    <x v="1"/>
  </r>
  <r>
    <x v="1"/>
  </r>
  <r>
    <x v="2"/>
  </r>
  <r>
    <x v="3"/>
  </r>
  <r>
    <x v="1"/>
  </r>
  <r>
    <x v="0"/>
  </r>
  <r>
    <x v="1"/>
  </r>
  <r>
    <x v="1"/>
  </r>
  <r>
    <x v="3"/>
  </r>
  <r>
    <x v="3"/>
  </r>
  <r>
    <x v="0"/>
  </r>
  <r>
    <x v="1"/>
  </r>
  <r>
    <x v="1"/>
  </r>
  <r>
    <x v="2"/>
  </r>
  <r>
    <x v="3"/>
  </r>
  <r>
    <x v="0"/>
  </r>
  <r>
    <x v="1"/>
  </r>
  <r>
    <x v="2"/>
  </r>
  <r>
    <x v="1"/>
  </r>
  <r>
    <x v="0"/>
  </r>
  <r>
    <x v="3"/>
  </r>
  <r>
    <x v="0"/>
  </r>
  <r>
    <x v="0"/>
  </r>
  <r>
    <x v="2"/>
  </r>
  <r>
    <x v="2"/>
  </r>
  <r>
    <x v="0"/>
  </r>
  <r>
    <x v="3"/>
  </r>
  <r>
    <x v="2"/>
  </r>
  <r>
    <x v="1"/>
  </r>
  <r>
    <x v="1"/>
  </r>
  <r>
    <x v="0"/>
  </r>
  <r>
    <x v="0"/>
  </r>
  <r>
    <x v="2"/>
  </r>
  <r>
    <x v="2"/>
  </r>
  <r>
    <x v="0"/>
  </r>
  <r>
    <x v="3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2"/>
  </r>
  <r>
    <x v="2"/>
  </r>
  <r>
    <x v="1"/>
  </r>
  <r>
    <x v="3"/>
  </r>
  <r>
    <x v="1"/>
  </r>
  <r>
    <x v="2"/>
  </r>
  <r>
    <x v="2"/>
  </r>
  <r>
    <x v="1"/>
  </r>
  <r>
    <x v="1"/>
  </r>
  <r>
    <x v="1"/>
  </r>
  <r>
    <x v="0"/>
  </r>
  <r>
    <x v="1"/>
  </r>
  <r>
    <x v="2"/>
  </r>
  <r>
    <x v="3"/>
  </r>
  <r>
    <x v="2"/>
  </r>
  <r>
    <x v="2"/>
  </r>
  <r>
    <x v="1"/>
  </r>
  <r>
    <x v="2"/>
  </r>
  <r>
    <x v="2"/>
  </r>
  <r>
    <x v="1"/>
  </r>
  <r>
    <x v="2"/>
  </r>
  <r>
    <x v="3"/>
  </r>
  <r>
    <x v="2"/>
  </r>
  <r>
    <x v="3"/>
  </r>
  <r>
    <x v="1"/>
  </r>
  <r>
    <x v="3"/>
  </r>
  <r>
    <x v="1"/>
  </r>
  <r>
    <x v="0"/>
  </r>
  <r>
    <x v="1"/>
  </r>
  <r>
    <x v="3"/>
  </r>
  <r>
    <x v="0"/>
  </r>
  <r>
    <x v="2"/>
  </r>
  <r>
    <x v="2"/>
  </r>
  <r>
    <x v="1"/>
  </r>
  <r>
    <x v="0"/>
  </r>
  <r>
    <x v="2"/>
  </r>
  <r>
    <x v="2"/>
  </r>
  <r>
    <x v="3"/>
  </r>
  <r>
    <x v="2"/>
  </r>
  <r>
    <x v="1"/>
  </r>
  <r>
    <x v="0"/>
  </r>
  <r>
    <x v="3"/>
  </r>
  <r>
    <x v="2"/>
  </r>
  <r>
    <x v="1"/>
  </r>
  <r>
    <x v="1"/>
  </r>
  <r>
    <x v="3"/>
  </r>
  <r>
    <x v="1"/>
  </r>
  <r>
    <x v="1"/>
  </r>
  <r>
    <x v="0"/>
  </r>
  <r>
    <x v="1"/>
  </r>
  <r>
    <x v="0"/>
  </r>
  <r>
    <x v="3"/>
  </r>
  <r>
    <x v="0"/>
  </r>
  <r>
    <x v="2"/>
  </r>
  <r>
    <x v="0"/>
  </r>
  <r>
    <x v="2"/>
  </r>
  <r>
    <x v="0"/>
  </r>
  <r>
    <x v="1"/>
  </r>
  <r>
    <x v="1"/>
  </r>
  <r>
    <x v="3"/>
  </r>
  <r>
    <x v="3"/>
  </r>
  <r>
    <x v="3"/>
  </r>
  <r>
    <x v="3"/>
  </r>
  <r>
    <x v="3"/>
  </r>
  <r>
    <x v="0"/>
  </r>
  <r>
    <x v="1"/>
  </r>
  <r>
    <x v="0"/>
  </r>
  <r>
    <x v="0"/>
  </r>
  <r>
    <x v="3"/>
  </r>
  <r>
    <x v="1"/>
  </r>
  <r>
    <x v="1"/>
  </r>
  <r>
    <x v="3"/>
  </r>
  <r>
    <x v="3"/>
  </r>
  <r>
    <x v="1"/>
  </r>
  <r>
    <x v="3"/>
  </r>
  <r>
    <x v="0"/>
  </r>
  <r>
    <x v="2"/>
  </r>
  <r>
    <x v="0"/>
  </r>
  <r>
    <x v="3"/>
  </r>
  <r>
    <x v="2"/>
  </r>
  <r>
    <x v="1"/>
  </r>
  <r>
    <x v="1"/>
  </r>
  <r>
    <x v="2"/>
  </r>
  <r>
    <x v="2"/>
  </r>
  <r>
    <x v="2"/>
  </r>
  <r>
    <x v="1"/>
  </r>
  <r>
    <x v="2"/>
  </r>
  <r>
    <x v="3"/>
  </r>
  <r>
    <x v="1"/>
  </r>
  <r>
    <x v="1"/>
  </r>
  <r>
    <x v="1"/>
  </r>
  <r>
    <x v="2"/>
  </r>
  <r>
    <x v="1"/>
  </r>
  <r>
    <x v="2"/>
  </r>
  <r>
    <x v="3"/>
  </r>
  <r>
    <x v="1"/>
  </r>
  <r>
    <x v="0"/>
  </r>
  <r>
    <x v="0"/>
  </r>
  <r>
    <x v="0"/>
  </r>
  <r>
    <x v="3"/>
  </r>
  <r>
    <x v="1"/>
  </r>
  <r>
    <x v="2"/>
  </r>
  <r>
    <x v="2"/>
  </r>
  <r>
    <x v="2"/>
  </r>
  <r>
    <x v="0"/>
  </r>
  <r>
    <x v="0"/>
  </r>
  <r>
    <x v="1"/>
  </r>
  <r>
    <x v="0"/>
  </r>
  <r>
    <x v="0"/>
  </r>
  <r>
    <x v="0"/>
  </r>
  <r>
    <x v="0"/>
  </r>
  <r>
    <x v="3"/>
  </r>
  <r>
    <x v="1"/>
  </r>
  <r>
    <x v="2"/>
  </r>
  <r>
    <x v="3"/>
  </r>
  <r>
    <x v="1"/>
  </r>
  <r>
    <x v="1"/>
  </r>
  <r>
    <x v="2"/>
  </r>
  <r>
    <x v="0"/>
  </r>
  <r>
    <x v="1"/>
  </r>
  <r>
    <x v="1"/>
  </r>
  <r>
    <x v="0"/>
  </r>
  <r>
    <x v="1"/>
  </r>
  <r>
    <x v="0"/>
  </r>
  <r>
    <x v="2"/>
  </r>
  <r>
    <x v="0"/>
  </r>
  <r>
    <x v="2"/>
  </r>
  <r>
    <x v="1"/>
  </r>
  <r>
    <x v="1"/>
  </r>
  <r>
    <x v="2"/>
  </r>
  <r>
    <x v="1"/>
  </r>
  <r>
    <x v="2"/>
  </r>
  <r>
    <x v="2"/>
  </r>
  <r>
    <x v="2"/>
  </r>
  <r>
    <x v="3"/>
  </r>
  <r>
    <x v="2"/>
  </r>
  <r>
    <x v="0"/>
  </r>
  <r>
    <x v="1"/>
  </r>
  <r>
    <x v="1"/>
  </r>
  <r>
    <x v="3"/>
  </r>
  <r>
    <x v="3"/>
  </r>
  <r>
    <x v="1"/>
  </r>
  <r>
    <x v="0"/>
  </r>
  <r>
    <x v="2"/>
  </r>
  <r>
    <x v="0"/>
  </r>
  <r>
    <x v="2"/>
  </r>
  <r>
    <x v="3"/>
  </r>
  <r>
    <x v="2"/>
  </r>
  <r>
    <x v="2"/>
  </r>
  <r>
    <x v="3"/>
  </r>
  <r>
    <x v="1"/>
  </r>
  <r>
    <x v="2"/>
  </r>
  <r>
    <x v="3"/>
  </r>
  <r>
    <x v="0"/>
  </r>
  <r>
    <x v="1"/>
  </r>
  <r>
    <x v="0"/>
  </r>
  <r>
    <x v="0"/>
  </r>
  <r>
    <x v="1"/>
  </r>
  <r>
    <x v="3"/>
  </r>
  <r>
    <x v="3"/>
  </r>
  <r>
    <x v="3"/>
  </r>
  <r>
    <x v="2"/>
  </r>
  <r>
    <x v="1"/>
  </r>
  <r>
    <x v="2"/>
  </r>
  <r>
    <x v="1"/>
  </r>
  <r>
    <x v="2"/>
  </r>
  <r>
    <x v="0"/>
  </r>
  <r>
    <x v="2"/>
  </r>
  <r>
    <x v="3"/>
  </r>
  <r>
    <x v="0"/>
  </r>
  <r>
    <x v="3"/>
  </r>
  <r>
    <x v="3"/>
  </r>
  <r>
    <x v="3"/>
  </r>
  <r>
    <x v="3"/>
  </r>
  <r>
    <x v="2"/>
  </r>
  <r>
    <x v="1"/>
  </r>
  <r>
    <x v="0"/>
  </r>
  <r>
    <x v="3"/>
  </r>
  <r>
    <x v="2"/>
  </r>
  <r>
    <x v="1"/>
  </r>
  <r>
    <x v="1"/>
  </r>
  <r>
    <x v="0"/>
  </r>
  <r>
    <x v="3"/>
  </r>
  <r>
    <x v="3"/>
  </r>
  <r>
    <x v="0"/>
  </r>
  <r>
    <x v="0"/>
  </r>
  <r>
    <x v="1"/>
  </r>
  <r>
    <x v="2"/>
  </r>
  <r>
    <x v="1"/>
  </r>
  <r>
    <x v="3"/>
  </r>
  <r>
    <x v="1"/>
  </r>
  <r>
    <x v="0"/>
  </r>
  <r>
    <x v="1"/>
  </r>
  <r>
    <x v="2"/>
  </r>
  <r>
    <x v="2"/>
  </r>
  <r>
    <x v="1"/>
  </r>
  <r>
    <x v="1"/>
  </r>
  <r>
    <x v="2"/>
  </r>
  <r>
    <x v="1"/>
  </r>
  <r>
    <x v="1"/>
  </r>
  <r>
    <x v="3"/>
  </r>
  <r>
    <x v="0"/>
  </r>
  <r>
    <x v="3"/>
  </r>
  <r>
    <x v="3"/>
  </r>
  <r>
    <x v="0"/>
  </r>
  <r>
    <x v="3"/>
  </r>
  <r>
    <x v="2"/>
  </r>
  <r>
    <x v="0"/>
  </r>
  <r>
    <x v="1"/>
  </r>
  <r>
    <x v="0"/>
  </r>
  <r>
    <x v="1"/>
  </r>
  <r>
    <x v="3"/>
  </r>
  <r>
    <x v="1"/>
  </r>
  <r>
    <x v="3"/>
  </r>
  <r>
    <x v="3"/>
  </r>
  <r>
    <x v="0"/>
  </r>
  <r>
    <x v="3"/>
  </r>
  <r>
    <x v="0"/>
  </r>
  <r>
    <x v="3"/>
  </r>
  <r>
    <x v="2"/>
  </r>
  <r>
    <x v="0"/>
  </r>
  <r>
    <x v="3"/>
  </r>
  <r>
    <x v="0"/>
  </r>
  <r>
    <x v="2"/>
  </r>
  <r>
    <x v="0"/>
  </r>
  <r>
    <x v="3"/>
  </r>
  <r>
    <x v="0"/>
  </r>
  <r>
    <x v="0"/>
  </r>
  <r>
    <x v="0"/>
  </r>
  <r>
    <x v="1"/>
  </r>
  <r>
    <x v="0"/>
  </r>
  <r>
    <x v="1"/>
  </r>
  <r>
    <x v="1"/>
  </r>
  <r>
    <x v="3"/>
  </r>
  <r>
    <x v="0"/>
  </r>
  <r>
    <x v="0"/>
  </r>
  <r>
    <x v="1"/>
  </r>
  <r>
    <x v="3"/>
  </r>
  <r>
    <x v="3"/>
  </r>
  <r>
    <x v="3"/>
  </r>
  <r>
    <x v="0"/>
  </r>
  <r>
    <x v="0"/>
  </r>
  <r>
    <x v="0"/>
  </r>
  <r>
    <x v="0"/>
  </r>
  <r>
    <x v="1"/>
  </r>
  <r>
    <x v="0"/>
  </r>
  <r>
    <x v="2"/>
  </r>
  <r>
    <x v="3"/>
  </r>
  <r>
    <x v="0"/>
  </r>
  <r>
    <x v="0"/>
  </r>
  <r>
    <x v="2"/>
  </r>
  <r>
    <x v="0"/>
  </r>
  <r>
    <x v="3"/>
  </r>
  <r>
    <x v="1"/>
  </r>
  <r>
    <x v="1"/>
  </r>
  <r>
    <x v="0"/>
  </r>
  <r>
    <x v="2"/>
  </r>
  <r>
    <x v="2"/>
  </r>
  <r>
    <x v="1"/>
  </r>
  <r>
    <x v="1"/>
  </r>
  <r>
    <x v="0"/>
  </r>
  <r>
    <x v="3"/>
  </r>
  <r>
    <x v="1"/>
  </r>
  <r>
    <x v="2"/>
  </r>
  <r>
    <x v="0"/>
  </r>
  <r>
    <x v="0"/>
  </r>
  <r>
    <x v="0"/>
  </r>
  <r>
    <x v="0"/>
  </r>
  <r>
    <x v="2"/>
  </r>
  <r>
    <x v="1"/>
  </r>
  <r>
    <x v="1"/>
  </r>
  <r>
    <x v="3"/>
  </r>
  <r>
    <x v="2"/>
  </r>
  <r>
    <x v="2"/>
  </r>
  <r>
    <x v="1"/>
  </r>
  <r>
    <x v="3"/>
  </r>
  <r>
    <x v="0"/>
  </r>
  <r>
    <x v="3"/>
  </r>
  <r>
    <x v="1"/>
  </r>
  <r>
    <x v="1"/>
  </r>
  <r>
    <x v="2"/>
  </r>
  <r>
    <x v="0"/>
  </r>
  <r>
    <x v="0"/>
  </r>
  <r>
    <x v="2"/>
  </r>
  <r>
    <x v="3"/>
  </r>
  <r>
    <x v="1"/>
  </r>
  <r>
    <x v="3"/>
  </r>
  <r>
    <x v="3"/>
  </r>
  <r>
    <x v="2"/>
  </r>
  <r>
    <x v="1"/>
  </r>
  <r>
    <x v="2"/>
  </r>
  <r>
    <x v="3"/>
  </r>
  <r>
    <x v="3"/>
  </r>
  <r>
    <x v="2"/>
  </r>
  <r>
    <x v="2"/>
  </r>
  <r>
    <x v="2"/>
  </r>
  <r>
    <x v="1"/>
  </r>
  <r>
    <x v="3"/>
  </r>
  <r>
    <x v="0"/>
  </r>
  <r>
    <x v="3"/>
  </r>
  <r>
    <x v="3"/>
  </r>
  <r>
    <x v="0"/>
  </r>
  <r>
    <x v="3"/>
  </r>
  <r>
    <x v="1"/>
  </r>
  <r>
    <x v="3"/>
  </r>
  <r>
    <x v="3"/>
  </r>
  <r>
    <x v="1"/>
  </r>
  <r>
    <x v="2"/>
  </r>
  <r>
    <x v="1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3"/>
  </r>
  <r>
    <x v="2"/>
  </r>
  <r>
    <x v="0"/>
  </r>
  <r>
    <x v="3"/>
  </r>
  <r>
    <x v="2"/>
  </r>
  <r>
    <x v="2"/>
  </r>
  <r>
    <x v="1"/>
  </r>
  <r>
    <x v="0"/>
  </r>
  <r>
    <x v="0"/>
  </r>
  <r>
    <x v="3"/>
  </r>
  <r>
    <x v="3"/>
  </r>
  <r>
    <x v="3"/>
  </r>
  <r>
    <x v="0"/>
  </r>
  <r>
    <x v="3"/>
  </r>
  <r>
    <x v="2"/>
  </r>
  <r>
    <x v="2"/>
  </r>
  <r>
    <x v="2"/>
  </r>
  <r>
    <x v="3"/>
  </r>
  <r>
    <x v="1"/>
  </r>
  <r>
    <x v="0"/>
  </r>
  <r>
    <x v="0"/>
  </r>
  <r>
    <x v="2"/>
  </r>
  <r>
    <x v="3"/>
  </r>
  <r>
    <x v="2"/>
  </r>
  <r>
    <x v="1"/>
  </r>
  <r>
    <x v="3"/>
  </r>
  <r>
    <x v="0"/>
  </r>
  <r>
    <x v="2"/>
  </r>
  <r>
    <x v="2"/>
  </r>
  <r>
    <x v="2"/>
  </r>
  <r>
    <x v="1"/>
  </r>
  <r>
    <x v="0"/>
  </r>
  <r>
    <x v="0"/>
  </r>
  <r>
    <x v="3"/>
  </r>
  <r>
    <x v="0"/>
  </r>
  <r>
    <x v="0"/>
  </r>
  <r>
    <x v="1"/>
  </r>
  <r>
    <x v="3"/>
  </r>
  <r>
    <x v="2"/>
  </r>
  <r>
    <x v="2"/>
  </r>
  <r>
    <x v="2"/>
  </r>
  <r>
    <x v="3"/>
  </r>
  <r>
    <x v="3"/>
  </r>
  <r>
    <x v="2"/>
  </r>
  <r>
    <x v="1"/>
  </r>
  <r>
    <x v="2"/>
  </r>
  <r>
    <x v="1"/>
  </r>
  <r>
    <x v="2"/>
  </r>
  <r>
    <x v="3"/>
  </r>
  <r>
    <x v="2"/>
  </r>
  <r>
    <x v="1"/>
  </r>
  <r>
    <x v="0"/>
  </r>
  <r>
    <x v="0"/>
  </r>
  <r>
    <x v="3"/>
  </r>
  <r>
    <x v="1"/>
  </r>
  <r>
    <x v="1"/>
  </r>
  <r>
    <x v="3"/>
  </r>
  <r>
    <x v="0"/>
  </r>
  <r>
    <x v="3"/>
  </r>
  <r>
    <x v="3"/>
  </r>
  <r>
    <x v="0"/>
  </r>
  <r>
    <x v="3"/>
  </r>
  <r>
    <x v="3"/>
  </r>
  <r>
    <x v="2"/>
  </r>
  <r>
    <x v="1"/>
  </r>
  <r>
    <x v="2"/>
  </r>
  <r>
    <x v="2"/>
  </r>
  <r>
    <x v="2"/>
  </r>
  <r>
    <x v="2"/>
  </r>
  <r>
    <x v="2"/>
  </r>
  <r>
    <x v="1"/>
  </r>
  <r>
    <x v="0"/>
  </r>
  <r>
    <x v="1"/>
  </r>
  <r>
    <x v="0"/>
  </r>
  <r>
    <x v="1"/>
  </r>
  <r>
    <x v="0"/>
  </r>
  <r>
    <x v="2"/>
  </r>
  <r>
    <x v="2"/>
  </r>
  <r>
    <x v="2"/>
  </r>
  <r>
    <x v="0"/>
  </r>
  <r>
    <x v="1"/>
  </r>
  <r>
    <x v="2"/>
  </r>
  <r>
    <x v="1"/>
  </r>
  <r>
    <x v="0"/>
  </r>
  <r>
    <x v="2"/>
  </r>
  <r>
    <x v="0"/>
  </r>
  <r>
    <x v="3"/>
  </r>
  <r>
    <x v="3"/>
  </r>
  <r>
    <x v="3"/>
  </r>
  <r>
    <x v="3"/>
  </r>
  <r>
    <x v="2"/>
  </r>
  <r>
    <x v="3"/>
  </r>
  <r>
    <x v="1"/>
  </r>
  <r>
    <x v="3"/>
  </r>
  <r>
    <x v="0"/>
  </r>
  <r>
    <x v="1"/>
  </r>
  <r>
    <x v="0"/>
  </r>
  <r>
    <x v="2"/>
  </r>
  <r>
    <x v="1"/>
  </r>
  <r>
    <x v="3"/>
  </r>
  <r>
    <x v="1"/>
  </r>
  <r>
    <x v="3"/>
  </r>
  <r>
    <x v="0"/>
  </r>
  <r>
    <x v="1"/>
  </r>
  <r>
    <x v="3"/>
  </r>
  <r>
    <x v="1"/>
  </r>
  <r>
    <x v="1"/>
  </r>
  <r>
    <x v="0"/>
  </r>
  <r>
    <x v="3"/>
  </r>
  <r>
    <x v="2"/>
  </r>
  <r>
    <x v="0"/>
  </r>
  <r>
    <x v="3"/>
  </r>
  <r>
    <x v="3"/>
  </r>
  <r>
    <x v="3"/>
  </r>
  <r>
    <x v="2"/>
  </r>
  <r>
    <x v="1"/>
  </r>
  <r>
    <x v="3"/>
  </r>
  <r>
    <x v="2"/>
  </r>
  <r>
    <x v="1"/>
  </r>
  <r>
    <x v="1"/>
  </r>
  <r>
    <x v="1"/>
  </r>
  <r>
    <x v="2"/>
  </r>
  <r>
    <x v="1"/>
  </r>
  <r>
    <x v="3"/>
  </r>
  <r>
    <x v="0"/>
  </r>
  <r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201">
  <r>
    <x v="0"/>
  </r>
  <r>
    <x v="1"/>
  </r>
  <r>
    <x v="2"/>
  </r>
  <r>
    <x v="3"/>
  </r>
  <r>
    <x v="2"/>
  </r>
  <r>
    <x v="0"/>
  </r>
  <r>
    <x v="3"/>
  </r>
  <r>
    <x v="3"/>
  </r>
  <r>
    <x v="2"/>
  </r>
  <r>
    <x v="4"/>
  </r>
  <r>
    <x v="0"/>
  </r>
  <r>
    <x v="2"/>
  </r>
  <r>
    <x v="1"/>
  </r>
  <r>
    <x v="3"/>
  </r>
  <r>
    <x v="0"/>
  </r>
  <r>
    <x v="4"/>
  </r>
  <r>
    <x v="2"/>
  </r>
  <r>
    <x v="1"/>
  </r>
  <r>
    <x v="3"/>
  </r>
  <r>
    <x v="4"/>
  </r>
  <r>
    <x v="0"/>
  </r>
  <r>
    <x v="4"/>
  </r>
  <r>
    <x v="4"/>
  </r>
  <r>
    <x v="1"/>
  </r>
  <r>
    <x v="1"/>
  </r>
  <r>
    <x v="2"/>
  </r>
  <r>
    <x v="1"/>
  </r>
  <r>
    <x v="4"/>
  </r>
  <r>
    <x v="2"/>
  </r>
  <r>
    <x v="1"/>
  </r>
  <r>
    <x v="1"/>
  </r>
  <r>
    <x v="3"/>
  </r>
  <r>
    <x v="2"/>
  </r>
  <r>
    <x v="3"/>
  </r>
  <r>
    <x v="3"/>
  </r>
  <r>
    <x v="3"/>
  </r>
  <r>
    <x v="3"/>
  </r>
  <r>
    <x v="0"/>
  </r>
  <r>
    <x v="4"/>
  </r>
  <r>
    <x v="1"/>
  </r>
  <r>
    <x v="0"/>
  </r>
  <r>
    <x v="0"/>
  </r>
  <r>
    <x v="0"/>
  </r>
  <r>
    <x v="0"/>
  </r>
  <r>
    <x v="1"/>
  </r>
  <r>
    <x v="3"/>
  </r>
  <r>
    <x v="0"/>
  </r>
  <r>
    <x v="2"/>
  </r>
  <r>
    <x v="4"/>
  </r>
  <r>
    <x v="2"/>
  </r>
  <r>
    <x v="0"/>
  </r>
  <r>
    <x v="3"/>
  </r>
  <r>
    <x v="3"/>
  </r>
  <r>
    <x v="4"/>
  </r>
  <r>
    <x v="2"/>
  </r>
  <r>
    <x v="3"/>
  </r>
  <r>
    <x v="1"/>
  </r>
  <r>
    <x v="0"/>
  </r>
  <r>
    <x v="4"/>
  </r>
  <r>
    <x v="3"/>
  </r>
  <r>
    <x v="1"/>
  </r>
  <r>
    <x v="3"/>
  </r>
  <r>
    <x v="2"/>
  </r>
  <r>
    <x v="1"/>
  </r>
  <r>
    <x v="3"/>
  </r>
  <r>
    <x v="0"/>
  </r>
  <r>
    <x v="1"/>
  </r>
  <r>
    <x v="4"/>
  </r>
  <r>
    <x v="2"/>
  </r>
  <r>
    <x v="1"/>
  </r>
  <r>
    <x v="0"/>
  </r>
  <r>
    <x v="1"/>
  </r>
  <r>
    <x v="3"/>
  </r>
  <r>
    <x v="3"/>
  </r>
  <r>
    <x v="0"/>
  </r>
  <r>
    <x v="2"/>
  </r>
  <r>
    <x v="2"/>
  </r>
  <r>
    <x v="4"/>
  </r>
  <r>
    <x v="0"/>
  </r>
  <r>
    <x v="3"/>
  </r>
  <r>
    <x v="3"/>
  </r>
  <r>
    <x v="2"/>
  </r>
  <r>
    <x v="4"/>
  </r>
  <r>
    <x v="1"/>
  </r>
  <r>
    <x v="0"/>
  </r>
  <r>
    <x v="2"/>
  </r>
  <r>
    <x v="1"/>
  </r>
  <r>
    <x v="3"/>
  </r>
  <r>
    <x v="4"/>
  </r>
  <r>
    <x v="4"/>
  </r>
  <r>
    <x v="2"/>
  </r>
  <r>
    <x v="1"/>
  </r>
  <r>
    <x v="3"/>
  </r>
  <r>
    <x v="1"/>
  </r>
  <r>
    <x v="0"/>
  </r>
  <r>
    <x v="1"/>
  </r>
  <r>
    <x v="0"/>
  </r>
  <r>
    <x v="2"/>
  </r>
  <r>
    <x v="2"/>
  </r>
  <r>
    <x v="2"/>
  </r>
  <r>
    <x v="3"/>
  </r>
  <r>
    <x v="4"/>
  </r>
  <r>
    <x v="2"/>
  </r>
  <r>
    <x v="2"/>
  </r>
  <r>
    <x v="2"/>
  </r>
  <r>
    <x v="3"/>
  </r>
  <r>
    <x v="2"/>
  </r>
  <r>
    <x v="0"/>
  </r>
  <r>
    <x v="2"/>
  </r>
  <r>
    <x v="1"/>
  </r>
  <r>
    <x v="0"/>
  </r>
  <r>
    <x v="4"/>
  </r>
  <r>
    <x v="1"/>
  </r>
  <r>
    <x v="0"/>
  </r>
  <r>
    <x v="4"/>
  </r>
  <r>
    <x v="3"/>
  </r>
  <r>
    <x v="3"/>
  </r>
  <r>
    <x v="1"/>
  </r>
  <r>
    <x v="4"/>
  </r>
  <r>
    <x v="1"/>
  </r>
  <r>
    <x v="0"/>
  </r>
  <r>
    <x v="0"/>
  </r>
  <r>
    <x v="3"/>
  </r>
  <r>
    <x v="0"/>
  </r>
  <r>
    <x v="4"/>
  </r>
  <r>
    <x v="2"/>
  </r>
  <r>
    <x v="4"/>
  </r>
  <r>
    <x v="4"/>
  </r>
  <r>
    <x v="4"/>
  </r>
  <r>
    <x v="3"/>
  </r>
  <r>
    <x v="3"/>
  </r>
  <r>
    <x v="0"/>
  </r>
  <r>
    <x v="2"/>
  </r>
  <r>
    <x v="4"/>
  </r>
  <r>
    <x v="2"/>
  </r>
  <r>
    <x v="1"/>
  </r>
  <r>
    <x v="0"/>
  </r>
  <r>
    <x v="4"/>
  </r>
  <r>
    <x v="4"/>
  </r>
  <r>
    <x v="2"/>
  </r>
  <r>
    <x v="2"/>
  </r>
  <r>
    <x v="0"/>
  </r>
  <r>
    <x v="2"/>
  </r>
  <r>
    <x v="1"/>
  </r>
  <r>
    <x v="3"/>
  </r>
  <r>
    <x v="4"/>
  </r>
  <r>
    <x v="0"/>
  </r>
  <r>
    <x v="4"/>
  </r>
  <r>
    <x v="4"/>
  </r>
  <r>
    <x v="3"/>
  </r>
  <r>
    <x v="4"/>
  </r>
  <r>
    <x v="2"/>
  </r>
  <r>
    <x v="1"/>
  </r>
  <r>
    <x v="0"/>
  </r>
  <r>
    <x v="0"/>
  </r>
  <r>
    <x v="1"/>
  </r>
  <r>
    <x v="2"/>
  </r>
  <r>
    <x v="3"/>
  </r>
  <r>
    <x v="0"/>
  </r>
  <r>
    <x v="2"/>
  </r>
  <r>
    <x v="1"/>
  </r>
  <r>
    <x v="3"/>
  </r>
  <r>
    <x v="4"/>
  </r>
  <r>
    <x v="1"/>
  </r>
  <r>
    <x v="4"/>
  </r>
  <r>
    <x v="4"/>
  </r>
  <r>
    <x v="0"/>
  </r>
  <r>
    <x v="2"/>
  </r>
  <r>
    <x v="3"/>
  </r>
  <r>
    <x v="2"/>
  </r>
  <r>
    <x v="0"/>
  </r>
  <r>
    <x v="0"/>
  </r>
  <r>
    <x v="2"/>
  </r>
  <r>
    <x v="4"/>
  </r>
  <r>
    <x v="2"/>
  </r>
  <r>
    <x v="1"/>
  </r>
  <r>
    <x v="1"/>
  </r>
  <r>
    <x v="3"/>
  </r>
  <r>
    <x v="4"/>
  </r>
  <r>
    <x v="2"/>
  </r>
  <r>
    <x v="4"/>
  </r>
  <r>
    <x v="1"/>
  </r>
  <r>
    <x v="4"/>
  </r>
  <r>
    <x v="2"/>
  </r>
  <r>
    <x v="1"/>
  </r>
  <r>
    <x v="1"/>
  </r>
  <r>
    <x v="3"/>
  </r>
  <r>
    <x v="1"/>
  </r>
  <r>
    <x v="1"/>
  </r>
  <r>
    <x v="2"/>
  </r>
  <r>
    <x v="2"/>
  </r>
  <r>
    <x v="4"/>
  </r>
  <r>
    <x v="4"/>
  </r>
  <r>
    <x v="4"/>
  </r>
  <r>
    <x v="4"/>
  </r>
  <r>
    <x v="2"/>
  </r>
  <r>
    <x v="2"/>
  </r>
  <r>
    <x v="1"/>
  </r>
  <r>
    <x v="1"/>
  </r>
  <r>
    <x v="4"/>
  </r>
  <r>
    <x v="4"/>
  </r>
  <r>
    <x v="3"/>
  </r>
  <r>
    <x v="2"/>
  </r>
  <r>
    <x v="0"/>
  </r>
  <r>
    <x v="3"/>
  </r>
  <r>
    <x v="2"/>
  </r>
  <r>
    <x v="2"/>
  </r>
  <r>
    <x v="4"/>
  </r>
  <r>
    <x v="3"/>
  </r>
  <r>
    <x v="4"/>
  </r>
  <r>
    <x v="3"/>
  </r>
  <r>
    <x v="2"/>
  </r>
  <r>
    <x v="2"/>
  </r>
  <r>
    <x v="2"/>
  </r>
  <r>
    <x v="3"/>
  </r>
  <r>
    <x v="3"/>
  </r>
  <r>
    <x v="4"/>
  </r>
  <r>
    <x v="4"/>
  </r>
  <r>
    <x v="0"/>
  </r>
  <r>
    <x v="2"/>
  </r>
  <r>
    <x v="1"/>
  </r>
  <r>
    <x v="4"/>
  </r>
  <r>
    <x v="0"/>
  </r>
  <r>
    <x v="0"/>
  </r>
  <r>
    <x v="1"/>
  </r>
  <r>
    <x v="4"/>
  </r>
  <r>
    <x v="0"/>
  </r>
  <r>
    <x v="3"/>
  </r>
  <r>
    <x v="0"/>
  </r>
  <r>
    <x v="3"/>
  </r>
  <r>
    <x v="2"/>
  </r>
  <r>
    <x v="0"/>
  </r>
  <r>
    <x v="4"/>
  </r>
  <r>
    <x v="0"/>
  </r>
  <r>
    <x v="4"/>
  </r>
  <r>
    <x v="4"/>
  </r>
  <r>
    <x v="2"/>
  </r>
  <r>
    <x v="3"/>
  </r>
  <r>
    <x v="4"/>
  </r>
  <r>
    <x v="2"/>
  </r>
  <r>
    <x v="0"/>
  </r>
  <r>
    <x v="2"/>
  </r>
  <r>
    <x v="1"/>
  </r>
  <r>
    <x v="4"/>
  </r>
  <r>
    <x v="3"/>
  </r>
  <r>
    <x v="3"/>
  </r>
  <r>
    <x v="0"/>
  </r>
  <r>
    <x v="2"/>
  </r>
  <r>
    <x v="1"/>
  </r>
  <r>
    <x v="1"/>
  </r>
  <r>
    <x v="2"/>
  </r>
  <r>
    <x v="2"/>
  </r>
  <r>
    <x v="3"/>
  </r>
  <r>
    <x v="0"/>
  </r>
  <r>
    <x v="0"/>
  </r>
  <r>
    <x v="4"/>
  </r>
  <r>
    <x v="0"/>
  </r>
  <r>
    <x v="1"/>
  </r>
  <r>
    <x v="1"/>
  </r>
  <r>
    <x v="0"/>
  </r>
  <r>
    <x v="4"/>
  </r>
  <r>
    <x v="2"/>
  </r>
  <r>
    <x v="1"/>
  </r>
  <r>
    <x v="4"/>
  </r>
  <r>
    <x v="4"/>
  </r>
  <r>
    <x v="4"/>
  </r>
  <r>
    <x v="1"/>
  </r>
  <r>
    <x v="3"/>
  </r>
  <r>
    <x v="1"/>
  </r>
  <r>
    <x v="4"/>
  </r>
  <r>
    <x v="4"/>
  </r>
  <r>
    <x v="1"/>
  </r>
  <r>
    <x v="0"/>
  </r>
  <r>
    <x v="2"/>
  </r>
  <r>
    <x v="1"/>
  </r>
  <r>
    <x v="4"/>
  </r>
  <r>
    <x v="0"/>
  </r>
  <r>
    <x v="3"/>
  </r>
  <r>
    <x v="0"/>
  </r>
  <r>
    <x v="2"/>
  </r>
  <r>
    <x v="0"/>
  </r>
  <r>
    <x v="1"/>
  </r>
  <r>
    <x v="4"/>
  </r>
  <r>
    <x v="4"/>
  </r>
  <r>
    <x v="3"/>
  </r>
  <r>
    <x v="4"/>
  </r>
  <r>
    <x v="4"/>
  </r>
  <r>
    <x v="3"/>
  </r>
  <r>
    <x v="4"/>
  </r>
  <r>
    <x v="1"/>
  </r>
  <r>
    <x v="3"/>
  </r>
  <r>
    <x v="4"/>
  </r>
  <r>
    <x v="3"/>
  </r>
  <r>
    <x v="0"/>
  </r>
  <r>
    <x v="1"/>
  </r>
  <r>
    <x v="2"/>
  </r>
  <r>
    <x v="1"/>
  </r>
  <r>
    <x v="0"/>
  </r>
  <r>
    <x v="2"/>
  </r>
  <r>
    <x v="0"/>
  </r>
  <r>
    <x v="3"/>
  </r>
  <r>
    <x v="2"/>
  </r>
  <r>
    <x v="0"/>
  </r>
  <r>
    <x v="4"/>
  </r>
  <r>
    <x v="0"/>
  </r>
  <r>
    <x v="0"/>
  </r>
  <r>
    <x v="0"/>
  </r>
  <r>
    <x v="2"/>
  </r>
  <r>
    <x v="0"/>
  </r>
  <r>
    <x v="3"/>
  </r>
  <r>
    <x v="1"/>
  </r>
  <r>
    <x v="0"/>
  </r>
  <r>
    <x v="1"/>
  </r>
  <r>
    <x v="0"/>
  </r>
  <r>
    <x v="1"/>
  </r>
  <r>
    <x v="2"/>
  </r>
  <r>
    <x v="3"/>
  </r>
  <r>
    <x v="0"/>
  </r>
  <r>
    <x v="4"/>
  </r>
  <r>
    <x v="0"/>
  </r>
  <r>
    <x v="3"/>
  </r>
  <r>
    <x v="4"/>
  </r>
  <r>
    <x v="3"/>
  </r>
  <r>
    <x v="1"/>
  </r>
  <r>
    <x v="1"/>
  </r>
  <r>
    <x v="1"/>
  </r>
  <r>
    <x v="3"/>
  </r>
  <r>
    <x v="2"/>
  </r>
  <r>
    <x v="4"/>
  </r>
  <r>
    <x v="4"/>
  </r>
  <r>
    <x v="0"/>
  </r>
  <r>
    <x v="3"/>
  </r>
  <r>
    <x v="4"/>
  </r>
  <r>
    <x v="0"/>
  </r>
  <r>
    <x v="3"/>
  </r>
  <r>
    <x v="2"/>
  </r>
  <r>
    <x v="0"/>
  </r>
  <r>
    <x v="2"/>
  </r>
  <r>
    <x v="1"/>
  </r>
  <r>
    <x v="0"/>
  </r>
  <r>
    <x v="2"/>
  </r>
  <r>
    <x v="2"/>
  </r>
  <r>
    <x v="1"/>
  </r>
  <r>
    <x v="3"/>
  </r>
  <r>
    <x v="0"/>
  </r>
  <r>
    <x v="1"/>
  </r>
  <r>
    <x v="1"/>
  </r>
  <r>
    <x v="4"/>
  </r>
  <r>
    <x v="2"/>
  </r>
  <r>
    <x v="4"/>
  </r>
  <r>
    <x v="0"/>
  </r>
  <r>
    <x v="0"/>
  </r>
  <r>
    <x v="0"/>
  </r>
  <r>
    <x v="4"/>
  </r>
  <r>
    <x v="0"/>
  </r>
  <r>
    <x v="1"/>
  </r>
  <r>
    <x v="0"/>
  </r>
  <r>
    <x v="0"/>
  </r>
  <r>
    <x v="4"/>
  </r>
  <r>
    <x v="1"/>
  </r>
  <r>
    <x v="0"/>
  </r>
  <r>
    <x v="3"/>
  </r>
  <r>
    <x v="0"/>
  </r>
  <r>
    <x v="2"/>
  </r>
  <r>
    <x v="3"/>
  </r>
  <r>
    <x v="1"/>
  </r>
  <r>
    <x v="1"/>
  </r>
  <r>
    <x v="0"/>
  </r>
  <r>
    <x v="4"/>
  </r>
  <r>
    <x v="2"/>
  </r>
  <r>
    <x v="3"/>
  </r>
  <r>
    <x v="4"/>
  </r>
  <r>
    <x v="1"/>
  </r>
  <r>
    <x v="0"/>
  </r>
  <r>
    <x v="0"/>
  </r>
  <r>
    <x v="3"/>
  </r>
  <r>
    <x v="3"/>
  </r>
  <r>
    <x v="0"/>
  </r>
  <r>
    <x v="0"/>
  </r>
  <r>
    <x v="4"/>
  </r>
  <r>
    <x v="0"/>
  </r>
  <r>
    <x v="0"/>
  </r>
  <r>
    <x v="4"/>
  </r>
  <r>
    <x v="2"/>
  </r>
  <r>
    <x v="3"/>
  </r>
  <r>
    <x v="3"/>
  </r>
  <r>
    <x v="2"/>
  </r>
  <r>
    <x v="4"/>
  </r>
  <r>
    <x v="3"/>
  </r>
  <r>
    <x v="1"/>
  </r>
  <r>
    <x v="4"/>
  </r>
  <r>
    <x v="1"/>
  </r>
  <r>
    <x v="2"/>
  </r>
  <r>
    <x v="4"/>
  </r>
  <r>
    <x v="3"/>
  </r>
  <r>
    <x v="1"/>
  </r>
  <r>
    <x v="2"/>
  </r>
  <r>
    <x v="1"/>
  </r>
  <r>
    <x v="0"/>
  </r>
  <r>
    <x v="3"/>
  </r>
  <r>
    <x v="0"/>
  </r>
  <r>
    <x v="1"/>
  </r>
  <r>
    <x v="1"/>
  </r>
  <r>
    <x v="1"/>
  </r>
  <r>
    <x v="0"/>
  </r>
  <r>
    <x v="2"/>
  </r>
  <r>
    <x v="4"/>
  </r>
  <r>
    <x v="0"/>
  </r>
  <r>
    <x v="4"/>
  </r>
  <r>
    <x v="4"/>
  </r>
  <r>
    <x v="2"/>
  </r>
  <r>
    <x v="3"/>
  </r>
  <r>
    <x v="3"/>
  </r>
  <r>
    <x v="2"/>
  </r>
  <r>
    <x v="3"/>
  </r>
  <r>
    <x v="3"/>
  </r>
  <r>
    <x v="1"/>
  </r>
  <r>
    <x v="4"/>
  </r>
  <r>
    <x v="3"/>
  </r>
  <r>
    <x v="0"/>
  </r>
  <r>
    <x v="0"/>
  </r>
  <r>
    <x v="2"/>
  </r>
  <r>
    <x v="1"/>
  </r>
  <r>
    <x v="4"/>
  </r>
  <r>
    <x v="2"/>
  </r>
  <r>
    <x v="2"/>
  </r>
  <r>
    <x v="3"/>
  </r>
  <r>
    <x v="0"/>
  </r>
  <r>
    <x v="2"/>
  </r>
  <r>
    <x v="3"/>
  </r>
  <r>
    <x v="4"/>
  </r>
  <r>
    <x v="3"/>
  </r>
  <r>
    <x v="1"/>
  </r>
  <r>
    <x v="3"/>
  </r>
  <r>
    <x v="3"/>
  </r>
  <r>
    <x v="0"/>
  </r>
  <r>
    <x v="4"/>
  </r>
  <r>
    <x v="0"/>
  </r>
  <r>
    <x v="0"/>
  </r>
  <r>
    <x v="3"/>
  </r>
  <r>
    <x v="3"/>
  </r>
  <r>
    <x v="2"/>
  </r>
  <r>
    <x v="0"/>
  </r>
  <r>
    <x v="3"/>
  </r>
  <r>
    <x v="0"/>
  </r>
  <r>
    <x v="1"/>
  </r>
  <r>
    <x v="0"/>
  </r>
  <r>
    <x v="3"/>
  </r>
  <r>
    <x v="0"/>
  </r>
  <r>
    <x v="0"/>
  </r>
  <r>
    <x v="0"/>
  </r>
  <r>
    <x v="2"/>
  </r>
  <r>
    <x v="4"/>
  </r>
  <r>
    <x v="3"/>
  </r>
  <r>
    <x v="4"/>
  </r>
  <r>
    <x v="1"/>
  </r>
  <r>
    <x v="3"/>
  </r>
  <r>
    <x v="0"/>
  </r>
  <r>
    <x v="2"/>
  </r>
  <r>
    <x v="0"/>
  </r>
  <r>
    <x v="1"/>
  </r>
  <r>
    <x v="4"/>
  </r>
  <r>
    <x v="1"/>
  </r>
  <r>
    <x v="0"/>
  </r>
  <r>
    <x v="4"/>
  </r>
  <r>
    <x v="4"/>
  </r>
  <r>
    <x v="1"/>
  </r>
  <r>
    <x v="2"/>
  </r>
  <r>
    <x v="2"/>
  </r>
  <r>
    <x v="3"/>
  </r>
  <r>
    <x v="2"/>
  </r>
  <r>
    <x v="1"/>
  </r>
  <r>
    <x v="1"/>
  </r>
  <r>
    <x v="3"/>
  </r>
  <r>
    <x v="1"/>
  </r>
  <r>
    <x v="3"/>
  </r>
  <r>
    <x v="1"/>
  </r>
  <r>
    <x v="4"/>
  </r>
  <r>
    <x v="1"/>
  </r>
  <r>
    <x v="4"/>
  </r>
  <r>
    <x v="1"/>
  </r>
  <r>
    <x v="1"/>
  </r>
  <r>
    <x v="0"/>
  </r>
  <r>
    <x v="4"/>
  </r>
  <r>
    <x v="3"/>
  </r>
  <r>
    <x v="0"/>
  </r>
  <r>
    <x v="1"/>
  </r>
  <r>
    <x v="4"/>
  </r>
  <r>
    <x v="2"/>
  </r>
  <r>
    <x v="2"/>
  </r>
  <r>
    <x v="3"/>
  </r>
  <r>
    <x v="3"/>
  </r>
  <r>
    <x v="0"/>
  </r>
  <r>
    <x v="3"/>
  </r>
  <r>
    <x v="1"/>
  </r>
  <r>
    <x v="3"/>
  </r>
  <r>
    <x v="4"/>
  </r>
  <r>
    <x v="4"/>
  </r>
  <r>
    <x v="0"/>
  </r>
  <r>
    <x v="3"/>
  </r>
  <r>
    <x v="3"/>
  </r>
  <r>
    <x v="1"/>
  </r>
  <r>
    <x v="2"/>
  </r>
  <r>
    <x v="3"/>
  </r>
  <r>
    <x v="0"/>
  </r>
  <r>
    <x v="2"/>
  </r>
  <r>
    <x v="0"/>
  </r>
  <r>
    <x v="2"/>
  </r>
  <r>
    <x v="1"/>
  </r>
  <r>
    <x v="4"/>
  </r>
  <r>
    <x v="2"/>
  </r>
  <r>
    <x v="2"/>
  </r>
  <r>
    <x v="0"/>
  </r>
  <r>
    <x v="1"/>
  </r>
  <r>
    <x v="0"/>
  </r>
  <r>
    <x v="3"/>
  </r>
  <r>
    <x v="3"/>
  </r>
  <r>
    <x v="4"/>
  </r>
  <r>
    <x v="1"/>
  </r>
  <r>
    <x v="2"/>
  </r>
  <r>
    <x v="1"/>
  </r>
  <r>
    <x v="3"/>
  </r>
  <r>
    <x v="2"/>
  </r>
  <r>
    <x v="4"/>
  </r>
  <r>
    <x v="1"/>
  </r>
  <r>
    <x v="2"/>
  </r>
  <r>
    <x v="4"/>
  </r>
  <r>
    <x v="1"/>
  </r>
  <r>
    <x v="1"/>
  </r>
  <r>
    <x v="4"/>
  </r>
  <r>
    <x v="4"/>
  </r>
  <r>
    <x v="1"/>
  </r>
  <r>
    <x v="2"/>
  </r>
  <r>
    <x v="3"/>
  </r>
  <r>
    <x v="2"/>
  </r>
  <r>
    <x v="2"/>
  </r>
  <r>
    <x v="2"/>
  </r>
  <r>
    <x v="3"/>
  </r>
  <r>
    <x v="2"/>
  </r>
  <r>
    <x v="4"/>
  </r>
  <r>
    <x v="1"/>
  </r>
  <r>
    <x v="0"/>
  </r>
  <r>
    <x v="2"/>
  </r>
  <r>
    <x v="3"/>
  </r>
  <r>
    <x v="1"/>
  </r>
  <r>
    <x v="0"/>
  </r>
  <r>
    <x v="0"/>
  </r>
  <r>
    <x v="3"/>
  </r>
  <r>
    <x v="0"/>
  </r>
  <r>
    <x v="0"/>
  </r>
  <r>
    <x v="4"/>
  </r>
  <r>
    <x v="2"/>
  </r>
  <r>
    <x v="3"/>
  </r>
  <r>
    <x v="1"/>
  </r>
  <r>
    <x v="0"/>
  </r>
  <r>
    <x v="3"/>
  </r>
  <r>
    <x v="3"/>
  </r>
  <r>
    <x v="3"/>
  </r>
  <r>
    <x v="0"/>
  </r>
  <r>
    <x v="2"/>
  </r>
  <r>
    <x v="2"/>
  </r>
  <r>
    <x v="4"/>
  </r>
  <r>
    <x v="2"/>
  </r>
  <r>
    <x v="1"/>
  </r>
  <r>
    <x v="4"/>
  </r>
  <r>
    <x v="3"/>
  </r>
  <r>
    <x v="2"/>
  </r>
  <r>
    <x v="2"/>
  </r>
  <r>
    <x v="4"/>
  </r>
  <r>
    <x v="0"/>
  </r>
  <r>
    <x v="0"/>
  </r>
  <r>
    <x v="4"/>
  </r>
  <r>
    <x v="3"/>
  </r>
  <r>
    <x v="0"/>
  </r>
  <r>
    <x v="2"/>
  </r>
  <r>
    <x v="4"/>
  </r>
  <r>
    <x v="3"/>
  </r>
  <r>
    <x v="4"/>
  </r>
  <r>
    <x v="0"/>
  </r>
  <r>
    <x v="3"/>
  </r>
  <r>
    <x v="0"/>
  </r>
  <r>
    <x v="1"/>
  </r>
  <r>
    <x v="4"/>
  </r>
  <r>
    <x v="0"/>
  </r>
  <r>
    <x v="4"/>
  </r>
  <r>
    <x v="4"/>
  </r>
  <r>
    <x v="1"/>
  </r>
  <r>
    <x v="0"/>
  </r>
  <r>
    <x v="4"/>
  </r>
  <r>
    <x v="1"/>
  </r>
  <r>
    <x v="2"/>
  </r>
  <r>
    <x v="1"/>
  </r>
  <r>
    <x v="4"/>
  </r>
  <r>
    <x v="3"/>
  </r>
  <r>
    <x v="2"/>
  </r>
  <r>
    <x v="2"/>
  </r>
  <r>
    <x v="3"/>
  </r>
  <r>
    <x v="2"/>
  </r>
  <r>
    <x v="3"/>
  </r>
  <r>
    <x v="3"/>
  </r>
  <r>
    <x v="3"/>
  </r>
  <r>
    <x v="1"/>
  </r>
  <r>
    <x v="0"/>
  </r>
  <r>
    <x v="4"/>
  </r>
  <r>
    <x v="3"/>
  </r>
  <r>
    <x v="1"/>
  </r>
  <r>
    <x v="4"/>
  </r>
  <r>
    <x v="4"/>
  </r>
  <r>
    <x v="0"/>
  </r>
  <r>
    <x v="1"/>
  </r>
  <r>
    <x v="3"/>
  </r>
  <r>
    <x v="1"/>
  </r>
  <r>
    <x v="4"/>
  </r>
  <r>
    <x v="2"/>
  </r>
  <r>
    <x v="1"/>
  </r>
  <r>
    <x v="3"/>
  </r>
  <r>
    <x v="3"/>
  </r>
  <r>
    <x v="1"/>
  </r>
  <r>
    <x v="0"/>
  </r>
  <r>
    <x v="1"/>
  </r>
  <r>
    <x v="1"/>
  </r>
  <r>
    <x v="4"/>
  </r>
  <r>
    <x v="3"/>
  </r>
  <r>
    <x v="0"/>
  </r>
  <r>
    <x v="2"/>
  </r>
  <r>
    <x v="2"/>
  </r>
  <r>
    <x v="1"/>
  </r>
  <r>
    <x v="2"/>
  </r>
  <r>
    <x v="1"/>
  </r>
  <r>
    <x v="1"/>
  </r>
  <r>
    <x v="0"/>
  </r>
  <r>
    <x v="1"/>
  </r>
  <r>
    <x v="3"/>
  </r>
  <r>
    <x v="0"/>
  </r>
  <r>
    <x v="1"/>
  </r>
  <r>
    <x v="3"/>
  </r>
  <r>
    <x v="3"/>
  </r>
  <r>
    <x v="1"/>
  </r>
  <r>
    <x v="2"/>
  </r>
  <r>
    <x v="1"/>
  </r>
  <r>
    <x v="1"/>
  </r>
  <r>
    <x v="4"/>
  </r>
  <r>
    <x v="2"/>
  </r>
  <r>
    <x v="1"/>
  </r>
  <r>
    <x v="2"/>
  </r>
  <r>
    <x v="3"/>
  </r>
  <r>
    <x v="4"/>
  </r>
  <r>
    <x v="4"/>
  </r>
  <r>
    <x v="1"/>
  </r>
  <r>
    <x v="2"/>
  </r>
  <r>
    <x v="2"/>
  </r>
  <r>
    <x v="4"/>
  </r>
  <r>
    <x v="0"/>
  </r>
  <r>
    <x v="4"/>
  </r>
  <r>
    <x v="0"/>
  </r>
  <r>
    <x v="2"/>
  </r>
  <r>
    <x v="3"/>
  </r>
  <r>
    <x v="0"/>
  </r>
  <r>
    <x v="4"/>
  </r>
  <r>
    <x v="2"/>
  </r>
  <r>
    <x v="3"/>
  </r>
  <r>
    <x v="4"/>
  </r>
  <r>
    <x v="3"/>
  </r>
  <r>
    <x v="0"/>
  </r>
  <r>
    <x v="3"/>
  </r>
  <r>
    <x v="4"/>
  </r>
  <r>
    <x v="2"/>
  </r>
  <r>
    <x v="2"/>
  </r>
  <r>
    <x v="3"/>
  </r>
  <r>
    <x v="1"/>
  </r>
  <r>
    <x v="4"/>
  </r>
  <r>
    <x v="4"/>
  </r>
  <r>
    <x v="0"/>
  </r>
  <r>
    <x v="2"/>
  </r>
  <r>
    <x v="3"/>
  </r>
  <r>
    <x v="2"/>
  </r>
  <r>
    <x v="0"/>
  </r>
  <r>
    <x v="0"/>
  </r>
  <r>
    <x v="3"/>
  </r>
  <r>
    <x v="0"/>
  </r>
  <r>
    <x v="3"/>
  </r>
  <r>
    <x v="2"/>
  </r>
  <r>
    <x v="4"/>
  </r>
  <r>
    <x v="0"/>
  </r>
  <r>
    <x v="2"/>
  </r>
  <r>
    <x v="2"/>
  </r>
  <r>
    <x v="3"/>
  </r>
  <r>
    <x v="0"/>
  </r>
  <r>
    <x v="3"/>
  </r>
  <r>
    <x v="3"/>
  </r>
  <r>
    <x v="0"/>
  </r>
  <r>
    <x v="4"/>
  </r>
  <r>
    <x v="0"/>
  </r>
  <r>
    <x v="1"/>
  </r>
  <r>
    <x v="2"/>
  </r>
  <r>
    <x v="2"/>
  </r>
  <r>
    <x v="3"/>
  </r>
  <r>
    <x v="2"/>
  </r>
  <r>
    <x v="0"/>
  </r>
  <r>
    <x v="3"/>
  </r>
  <r>
    <x v="0"/>
  </r>
  <r>
    <x v="2"/>
  </r>
  <r>
    <x v="2"/>
  </r>
  <r>
    <x v="2"/>
  </r>
  <r>
    <x v="4"/>
  </r>
  <r>
    <x v="0"/>
  </r>
  <r>
    <x v="3"/>
  </r>
  <r>
    <x v="3"/>
  </r>
  <r>
    <x v="0"/>
  </r>
  <r>
    <x v="4"/>
  </r>
  <r>
    <x v="4"/>
  </r>
  <r>
    <x v="4"/>
  </r>
  <r>
    <x v="2"/>
  </r>
  <r>
    <x v="3"/>
  </r>
  <r>
    <x v="3"/>
  </r>
  <r>
    <x v="2"/>
  </r>
  <r>
    <x v="4"/>
  </r>
  <r>
    <x v="2"/>
  </r>
  <r>
    <x v="4"/>
  </r>
  <r>
    <x v="3"/>
  </r>
  <r>
    <x v="0"/>
  </r>
  <r>
    <x v="2"/>
  </r>
  <r>
    <x v="0"/>
  </r>
  <r>
    <x v="1"/>
  </r>
  <r>
    <x v="1"/>
  </r>
  <r>
    <x v="1"/>
  </r>
  <r>
    <x v="3"/>
  </r>
  <r>
    <x v="0"/>
  </r>
  <r>
    <x v="2"/>
  </r>
  <r>
    <x v="4"/>
  </r>
  <r>
    <x v="2"/>
  </r>
  <r>
    <x v="2"/>
  </r>
  <r>
    <x v="4"/>
  </r>
  <r>
    <x v="2"/>
  </r>
  <r>
    <x v="3"/>
  </r>
  <r>
    <x v="2"/>
  </r>
  <r>
    <x v="4"/>
  </r>
  <r>
    <x v="0"/>
  </r>
  <r>
    <x v="2"/>
  </r>
  <r>
    <x v="3"/>
  </r>
  <r>
    <x v="4"/>
  </r>
  <r>
    <x v="1"/>
  </r>
  <r>
    <x v="4"/>
  </r>
  <r>
    <x v="0"/>
  </r>
  <r>
    <x v="4"/>
  </r>
  <r>
    <x v="2"/>
  </r>
  <r>
    <x v="1"/>
  </r>
  <r>
    <x v="0"/>
  </r>
  <r>
    <x v="1"/>
  </r>
  <r>
    <x v="0"/>
  </r>
  <r>
    <x v="2"/>
  </r>
  <r>
    <x v="3"/>
  </r>
  <r>
    <x v="4"/>
  </r>
  <r>
    <x v="0"/>
  </r>
  <r>
    <x v="2"/>
  </r>
  <r>
    <x v="2"/>
  </r>
  <r>
    <x v="4"/>
  </r>
  <r>
    <x v="4"/>
  </r>
  <r>
    <x v="3"/>
  </r>
  <r>
    <x v="3"/>
  </r>
  <r>
    <x v="4"/>
  </r>
  <r>
    <x v="4"/>
  </r>
  <r>
    <x v="2"/>
  </r>
  <r>
    <x v="2"/>
  </r>
  <r>
    <x v="2"/>
  </r>
  <r>
    <x v="4"/>
  </r>
  <r>
    <x v="1"/>
  </r>
  <r>
    <x v="0"/>
  </r>
  <r>
    <x v="2"/>
  </r>
  <r>
    <x v="2"/>
  </r>
  <r>
    <x v="4"/>
  </r>
  <r>
    <x v="4"/>
  </r>
  <r>
    <x v="0"/>
  </r>
  <r>
    <x v="3"/>
  </r>
  <r>
    <x v="0"/>
  </r>
  <r>
    <x v="4"/>
  </r>
  <r>
    <x v="4"/>
  </r>
  <r>
    <x v="3"/>
  </r>
  <r>
    <x v="4"/>
  </r>
  <r>
    <x v="2"/>
  </r>
  <r>
    <x v="4"/>
  </r>
  <r>
    <x v="1"/>
  </r>
  <r>
    <x v="1"/>
  </r>
  <r>
    <x v="3"/>
  </r>
  <r>
    <x v="1"/>
  </r>
  <r>
    <x v="0"/>
  </r>
  <r>
    <x v="1"/>
  </r>
  <r>
    <x v="4"/>
  </r>
  <r>
    <x v="0"/>
  </r>
  <r>
    <x v="2"/>
  </r>
  <r>
    <x v="4"/>
  </r>
  <r>
    <x v="2"/>
  </r>
  <r>
    <x v="3"/>
  </r>
  <r>
    <x v="1"/>
  </r>
  <r>
    <x v="0"/>
  </r>
  <r>
    <x v="0"/>
  </r>
  <r>
    <x v="3"/>
  </r>
  <r>
    <x v="3"/>
  </r>
  <r>
    <x v="2"/>
  </r>
  <r>
    <x v="2"/>
  </r>
  <r>
    <x v="3"/>
  </r>
  <r>
    <x v="3"/>
  </r>
  <r>
    <x v="2"/>
  </r>
  <r>
    <x v="1"/>
  </r>
  <r>
    <x v="2"/>
  </r>
  <r>
    <x v="2"/>
  </r>
  <r>
    <x v="0"/>
  </r>
  <r>
    <x v="4"/>
  </r>
  <r>
    <x v="4"/>
  </r>
  <r>
    <x v="0"/>
  </r>
  <r>
    <x v="1"/>
  </r>
  <r>
    <x v="2"/>
  </r>
  <r>
    <x v="4"/>
  </r>
  <r>
    <x v="2"/>
  </r>
  <r>
    <x v="0"/>
  </r>
  <r>
    <x v="0"/>
  </r>
  <r>
    <x v="1"/>
  </r>
  <r>
    <x v="2"/>
  </r>
  <r>
    <x v="1"/>
  </r>
  <r>
    <x v="4"/>
  </r>
  <r>
    <x v="2"/>
  </r>
  <r>
    <x v="3"/>
  </r>
  <r>
    <x v="4"/>
  </r>
  <r>
    <x v="0"/>
  </r>
  <r>
    <x v="3"/>
  </r>
  <r>
    <x v="0"/>
  </r>
  <r>
    <x v="2"/>
  </r>
  <r>
    <x v="0"/>
  </r>
  <r>
    <x v="0"/>
  </r>
  <r>
    <x v="0"/>
  </r>
  <r>
    <x v="2"/>
  </r>
  <r>
    <x v="4"/>
  </r>
  <r>
    <x v="1"/>
  </r>
  <r>
    <x v="1"/>
  </r>
  <r>
    <x v="0"/>
  </r>
  <r>
    <x v="4"/>
  </r>
  <r>
    <x v="4"/>
  </r>
  <r>
    <x v="2"/>
  </r>
  <r>
    <x v="3"/>
  </r>
  <r>
    <x v="4"/>
  </r>
  <r>
    <x v="1"/>
  </r>
  <r>
    <x v="3"/>
  </r>
  <r>
    <x v="1"/>
  </r>
  <r>
    <x v="0"/>
  </r>
  <r>
    <x v="3"/>
  </r>
  <r>
    <x v="4"/>
  </r>
  <r>
    <x v="1"/>
  </r>
  <r>
    <x v="2"/>
  </r>
  <r>
    <x v="1"/>
  </r>
  <r>
    <x v="1"/>
  </r>
  <r>
    <x v="0"/>
  </r>
  <r>
    <x v="2"/>
  </r>
  <r>
    <x v="4"/>
  </r>
  <r>
    <x v="3"/>
  </r>
  <r>
    <x v="1"/>
  </r>
  <r>
    <x v="2"/>
  </r>
  <r>
    <x v="3"/>
  </r>
  <r>
    <x v="0"/>
  </r>
  <r>
    <x v="3"/>
  </r>
  <r>
    <x v="1"/>
  </r>
  <r>
    <x v="4"/>
  </r>
  <r>
    <x v="4"/>
  </r>
  <r>
    <x v="1"/>
  </r>
  <r>
    <x v="1"/>
  </r>
  <r>
    <x v="3"/>
  </r>
  <r>
    <x v="4"/>
  </r>
  <r>
    <x v="2"/>
  </r>
  <r>
    <x v="3"/>
  </r>
  <r>
    <x v="3"/>
  </r>
  <r>
    <x v="4"/>
  </r>
  <r>
    <x v="4"/>
  </r>
  <r>
    <x v="2"/>
  </r>
  <r>
    <x v="2"/>
  </r>
  <r>
    <x v="3"/>
  </r>
  <r>
    <x v="3"/>
  </r>
  <r>
    <x v="1"/>
  </r>
  <r>
    <x v="4"/>
  </r>
  <r>
    <x v="2"/>
  </r>
  <r>
    <x v="4"/>
  </r>
  <r>
    <x v="0"/>
  </r>
  <r>
    <x v="3"/>
  </r>
  <r>
    <x v="0"/>
  </r>
  <r>
    <x v="1"/>
  </r>
  <r>
    <x v="3"/>
  </r>
  <r>
    <x v="0"/>
  </r>
  <r>
    <x v="4"/>
  </r>
  <r>
    <x v="4"/>
  </r>
  <r>
    <x v="4"/>
  </r>
  <r>
    <x v="0"/>
  </r>
  <r>
    <x v="2"/>
  </r>
  <r>
    <x v="4"/>
  </r>
  <r>
    <x v="1"/>
  </r>
  <r>
    <x v="1"/>
  </r>
  <r>
    <x v="1"/>
  </r>
  <r>
    <x v="0"/>
  </r>
  <r>
    <x v="3"/>
  </r>
  <r>
    <x v="4"/>
  </r>
  <r>
    <x v="0"/>
  </r>
  <r>
    <x v="1"/>
  </r>
  <r>
    <x v="0"/>
  </r>
  <r>
    <x v="0"/>
  </r>
  <r>
    <x v="1"/>
  </r>
  <r>
    <x v="3"/>
  </r>
  <r>
    <x v="2"/>
  </r>
  <r>
    <x v="1"/>
  </r>
  <r>
    <x v="3"/>
  </r>
  <r>
    <x v="2"/>
  </r>
  <r>
    <x v="1"/>
  </r>
  <r>
    <x v="4"/>
  </r>
  <r>
    <x v="0"/>
  </r>
  <r>
    <x v="0"/>
  </r>
  <r>
    <x v="0"/>
  </r>
  <r>
    <x v="2"/>
  </r>
  <r>
    <x v="3"/>
  </r>
  <r>
    <x v="3"/>
  </r>
  <r>
    <x v="1"/>
  </r>
  <r>
    <x v="1"/>
  </r>
  <r>
    <x v="4"/>
  </r>
  <r>
    <x v="0"/>
  </r>
  <r>
    <x v="1"/>
  </r>
  <r>
    <x v="0"/>
  </r>
  <r>
    <x v="1"/>
  </r>
  <r>
    <x v="0"/>
  </r>
  <r>
    <x v="3"/>
  </r>
  <r>
    <x v="2"/>
  </r>
  <r>
    <x v="2"/>
  </r>
  <r>
    <x v="2"/>
  </r>
  <r>
    <x v="4"/>
  </r>
  <r>
    <x v="1"/>
  </r>
  <r>
    <x v="2"/>
  </r>
  <r>
    <x v="2"/>
  </r>
  <r>
    <x v="4"/>
  </r>
  <r>
    <x v="0"/>
  </r>
  <r>
    <x v="1"/>
  </r>
  <r>
    <x v="1"/>
  </r>
  <r>
    <x v="0"/>
  </r>
  <r>
    <x v="0"/>
  </r>
  <r>
    <x v="2"/>
  </r>
  <r>
    <x v="1"/>
  </r>
  <r>
    <x v="0"/>
  </r>
  <r>
    <x v="4"/>
  </r>
  <r>
    <x v="2"/>
  </r>
  <r>
    <x v="2"/>
  </r>
  <r>
    <x v="3"/>
  </r>
  <r>
    <x v="4"/>
  </r>
  <r>
    <x v="1"/>
  </r>
  <r>
    <x v="2"/>
  </r>
  <r>
    <x v="2"/>
  </r>
  <r>
    <x v="4"/>
  </r>
  <r>
    <x v="1"/>
  </r>
  <r>
    <x v="0"/>
  </r>
  <r>
    <x v="2"/>
  </r>
  <r>
    <x v="3"/>
  </r>
  <r>
    <x v="3"/>
  </r>
  <r>
    <x v="4"/>
  </r>
  <r>
    <x v="0"/>
  </r>
  <r>
    <x v="1"/>
  </r>
  <r>
    <x v="3"/>
  </r>
  <r>
    <x v="2"/>
  </r>
  <r>
    <x v="0"/>
  </r>
  <r>
    <x v="4"/>
  </r>
  <r>
    <x v="3"/>
  </r>
  <r>
    <x v="1"/>
  </r>
  <r>
    <x v="4"/>
  </r>
  <r>
    <x v="1"/>
  </r>
  <r>
    <x v="2"/>
  </r>
  <r>
    <x v="3"/>
  </r>
  <r>
    <x v="4"/>
  </r>
  <r>
    <x v="1"/>
  </r>
  <r>
    <x v="3"/>
  </r>
  <r>
    <x v="0"/>
  </r>
  <r>
    <x v="1"/>
  </r>
  <r>
    <x v="3"/>
  </r>
  <r>
    <x v="1"/>
  </r>
  <r>
    <x v="2"/>
  </r>
  <r>
    <x v="2"/>
  </r>
  <r>
    <x v="1"/>
  </r>
  <r>
    <x v="4"/>
  </r>
  <r>
    <x v="4"/>
  </r>
  <r>
    <x v="3"/>
  </r>
  <r>
    <x v="0"/>
  </r>
  <r>
    <x v="2"/>
  </r>
  <r>
    <x v="1"/>
  </r>
  <r>
    <x v="2"/>
  </r>
  <r>
    <x v="3"/>
  </r>
  <r>
    <x v="4"/>
  </r>
  <r>
    <x v="2"/>
  </r>
  <r>
    <x v="0"/>
  </r>
  <r>
    <x v="0"/>
  </r>
  <r>
    <x v="0"/>
  </r>
  <r>
    <x v="4"/>
  </r>
  <r>
    <x v="4"/>
  </r>
  <r>
    <x v="1"/>
  </r>
  <r>
    <x v="0"/>
  </r>
  <r>
    <x v="4"/>
  </r>
  <r>
    <x v="3"/>
  </r>
  <r>
    <x v="3"/>
  </r>
  <r>
    <x v="3"/>
  </r>
  <r>
    <x v="4"/>
  </r>
  <r>
    <x v="4"/>
  </r>
  <r>
    <x v="2"/>
  </r>
  <r>
    <x v="1"/>
  </r>
  <r>
    <x v="1"/>
  </r>
  <r>
    <x v="4"/>
  </r>
  <r>
    <x v="1"/>
  </r>
  <r>
    <x v="4"/>
  </r>
  <r>
    <x v="3"/>
  </r>
  <r>
    <x v="3"/>
  </r>
  <r>
    <x v="0"/>
  </r>
  <r>
    <x v="2"/>
  </r>
  <r>
    <x v="2"/>
  </r>
  <r>
    <x v="4"/>
  </r>
  <r>
    <x v="3"/>
  </r>
  <r>
    <x v="3"/>
  </r>
  <r>
    <x v="2"/>
  </r>
  <r>
    <x v="0"/>
  </r>
  <r>
    <x v="2"/>
  </r>
  <r>
    <x v="1"/>
  </r>
  <r>
    <x v="0"/>
  </r>
  <r>
    <x v="1"/>
  </r>
  <r>
    <x v="0"/>
  </r>
  <r>
    <x v="2"/>
  </r>
  <r>
    <x v="1"/>
  </r>
  <r>
    <x v="1"/>
  </r>
  <r>
    <x v="3"/>
  </r>
  <r>
    <x v="0"/>
  </r>
  <r>
    <x v="3"/>
  </r>
  <r>
    <x v="4"/>
  </r>
  <r>
    <x v="0"/>
  </r>
  <r>
    <x v="2"/>
  </r>
  <r>
    <x v="2"/>
  </r>
  <r>
    <x v="2"/>
  </r>
  <r>
    <x v="1"/>
  </r>
  <r>
    <x v="1"/>
  </r>
  <r>
    <x v="3"/>
  </r>
  <r>
    <x v="1"/>
  </r>
  <r>
    <x v="3"/>
  </r>
  <r>
    <x v="4"/>
  </r>
  <r>
    <x v="3"/>
  </r>
  <r>
    <x v="0"/>
  </r>
  <r>
    <x v="4"/>
  </r>
  <r>
    <x v="4"/>
  </r>
  <r>
    <x v="3"/>
  </r>
  <r>
    <x v="0"/>
  </r>
  <r>
    <x v="1"/>
  </r>
  <r>
    <x v="2"/>
  </r>
  <r>
    <x v="0"/>
  </r>
  <r>
    <x v="1"/>
  </r>
  <r>
    <x v="4"/>
  </r>
  <r>
    <x v="0"/>
  </r>
  <r>
    <x v="0"/>
  </r>
  <r>
    <x v="3"/>
  </r>
  <r>
    <x v="4"/>
  </r>
  <r>
    <x v="0"/>
  </r>
  <r>
    <x v="0"/>
  </r>
  <r>
    <x v="2"/>
  </r>
  <r>
    <x v="1"/>
  </r>
  <r>
    <x v="3"/>
  </r>
  <r>
    <x v="0"/>
  </r>
  <r>
    <x v="0"/>
  </r>
  <r>
    <x v="1"/>
  </r>
  <r>
    <x v="4"/>
  </r>
  <r>
    <x v="3"/>
  </r>
  <r>
    <x v="1"/>
  </r>
  <r>
    <x v="1"/>
  </r>
  <r>
    <x v="1"/>
  </r>
  <r>
    <x v="0"/>
  </r>
  <r>
    <x v="0"/>
  </r>
  <r>
    <x v="1"/>
  </r>
  <r>
    <x v="3"/>
  </r>
  <r>
    <x v="2"/>
  </r>
  <r>
    <x v="4"/>
  </r>
  <r>
    <x v="1"/>
  </r>
  <r>
    <x v="3"/>
  </r>
  <r>
    <x v="4"/>
  </r>
  <r>
    <x v="0"/>
  </r>
  <r>
    <x v="1"/>
  </r>
  <r>
    <x v="1"/>
  </r>
  <r>
    <x v="2"/>
  </r>
  <r>
    <x v="2"/>
  </r>
  <r>
    <x v="1"/>
  </r>
  <r>
    <x v="4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3"/>
  </r>
  <r>
    <x v="4"/>
  </r>
  <r>
    <x v="2"/>
  </r>
  <r>
    <x v="2"/>
  </r>
  <r>
    <x v="0"/>
  </r>
  <r>
    <x v="2"/>
  </r>
  <r>
    <x v="0"/>
  </r>
  <r>
    <x v="4"/>
  </r>
  <r>
    <x v="0"/>
  </r>
  <r>
    <x v="4"/>
  </r>
  <r>
    <x v="3"/>
  </r>
  <r>
    <x v="4"/>
  </r>
  <r>
    <x v="0"/>
  </r>
  <r>
    <x v="0"/>
  </r>
  <r>
    <x v="2"/>
  </r>
  <r>
    <x v="0"/>
  </r>
  <r>
    <x v="0"/>
  </r>
  <r>
    <x v="4"/>
  </r>
  <r>
    <x v="4"/>
  </r>
  <r>
    <x v="4"/>
  </r>
  <r>
    <x v="3"/>
  </r>
  <r>
    <x v="4"/>
  </r>
  <r>
    <x v="2"/>
  </r>
  <r>
    <x v="2"/>
  </r>
  <r>
    <x v="3"/>
  </r>
  <r>
    <x v="0"/>
  </r>
  <r>
    <x v="3"/>
  </r>
  <r>
    <x v="1"/>
  </r>
  <r>
    <x v="0"/>
  </r>
  <r>
    <x v="1"/>
  </r>
  <r>
    <x v="4"/>
  </r>
  <r>
    <x v="2"/>
  </r>
  <r>
    <x v="4"/>
  </r>
  <r>
    <x v="0"/>
  </r>
  <r>
    <x v="0"/>
  </r>
  <r>
    <x v="3"/>
  </r>
  <r>
    <x v="2"/>
  </r>
  <r>
    <x v="3"/>
  </r>
  <r>
    <x v="3"/>
  </r>
  <r>
    <x v="4"/>
  </r>
  <r>
    <x v="3"/>
  </r>
  <r>
    <x v="0"/>
  </r>
  <r>
    <x v="0"/>
  </r>
  <r>
    <x v="2"/>
  </r>
  <r>
    <x v="1"/>
  </r>
  <r>
    <x v="2"/>
  </r>
  <r>
    <x v="2"/>
  </r>
  <r>
    <x v="2"/>
  </r>
  <r>
    <x v="3"/>
  </r>
  <r>
    <x v="3"/>
  </r>
  <r>
    <x v="0"/>
  </r>
  <r>
    <x v="2"/>
  </r>
  <r>
    <x v="2"/>
  </r>
  <r>
    <x v="0"/>
  </r>
  <r>
    <x v="1"/>
  </r>
  <r>
    <x v="4"/>
  </r>
  <r>
    <x v="1"/>
  </r>
  <r>
    <x v="0"/>
  </r>
  <r>
    <x v="0"/>
  </r>
  <r>
    <x v="3"/>
  </r>
  <r>
    <x v="1"/>
  </r>
  <r>
    <x v="4"/>
  </r>
  <r>
    <x v="1"/>
  </r>
  <r>
    <x v="0"/>
  </r>
  <r>
    <x v="2"/>
  </r>
  <r>
    <x v="2"/>
  </r>
  <r>
    <x v="1"/>
  </r>
  <r>
    <x v="0"/>
  </r>
  <r>
    <x v="2"/>
  </r>
  <r>
    <x v="4"/>
  </r>
  <r>
    <x v="2"/>
  </r>
  <r>
    <x v="3"/>
  </r>
  <r>
    <x v="4"/>
  </r>
  <r>
    <x v="0"/>
  </r>
  <r>
    <x v="2"/>
  </r>
  <r>
    <x v="3"/>
  </r>
  <r>
    <x v="0"/>
  </r>
  <r>
    <x v="2"/>
  </r>
  <r>
    <x v="2"/>
  </r>
  <r>
    <x v="1"/>
  </r>
  <r>
    <x v="2"/>
  </r>
  <r>
    <x v="1"/>
  </r>
  <r>
    <x v="4"/>
  </r>
  <r>
    <x v="0"/>
  </r>
  <r>
    <x v="4"/>
  </r>
  <r>
    <x v="0"/>
  </r>
  <r>
    <x v="4"/>
  </r>
  <r>
    <x v="1"/>
  </r>
  <r>
    <x v="4"/>
  </r>
  <r>
    <x v="4"/>
  </r>
  <r>
    <x v="3"/>
  </r>
  <r>
    <x v="2"/>
  </r>
  <r>
    <x v="3"/>
  </r>
  <r>
    <x v="1"/>
  </r>
  <r>
    <x v="0"/>
  </r>
  <r>
    <x v="0"/>
  </r>
  <r>
    <x v="0"/>
  </r>
  <r>
    <x v="2"/>
  </r>
  <r>
    <x v="2"/>
  </r>
  <r>
    <x v="4"/>
  </r>
  <r>
    <x v="3"/>
  </r>
  <r>
    <x v="0"/>
  </r>
  <r>
    <x v="0"/>
  </r>
  <r>
    <x v="1"/>
  </r>
  <r>
    <x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s v="Monitor"/>
    <n v="5"/>
    <n v="570.62"/>
    <s v="928 Main St"/>
    <s v="Debit Card"/>
    <s v="Shipped"/>
    <s v="TRK37947903"/>
    <n v="7"/>
    <s v="SAVE10"/>
    <x v="0"/>
    <n v="2853.1"/>
    <x v="0"/>
  </r>
  <r>
    <s v="ORD200001"/>
    <d v="2024-08-23T00:00:00"/>
    <s v="C75739"/>
    <s v="Phone"/>
    <n v="2"/>
    <n v="151.35"/>
    <s v="823 Main St"/>
    <s v="Online"/>
    <s v="Shipped"/>
    <s v="TRK91186779"/>
    <n v="3"/>
    <s v="SAVE10"/>
    <x v="1"/>
    <n v="302.7"/>
    <x v="1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x v="2"/>
    <n v="2753.4"/>
    <x v="1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x v="3"/>
    <n v="273.19"/>
    <x v="0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x v="2"/>
    <n v="2504.04"/>
    <x v="2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x v="0"/>
    <n v="491.72"/>
    <x v="0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x v="3"/>
    <n v="664.42"/>
    <x v="2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x v="3"/>
    <n v="747.75"/>
    <x v="0"/>
  </r>
  <r>
    <s v="ORD200008"/>
    <d v="2025-04-02T00:00:00"/>
    <s v="C26817"/>
    <s v="Phone"/>
    <n v="2"/>
    <n v="134.28"/>
    <s v="904 Main St"/>
    <s v="Gift Card"/>
    <s v="Cancelled"/>
    <s v="TRK61042692"/>
    <n v="2"/>
    <s v="No Coupon"/>
    <x v="2"/>
    <n v="268.56"/>
    <x v="2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x v="4"/>
    <n v="2037.52"/>
    <x v="0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x v="0"/>
    <n v="3129.85"/>
    <x v="0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x v="2"/>
    <n v="147.41999999999999"/>
    <x v="1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x v="1"/>
    <n v="361"/>
    <x v="1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x v="3"/>
    <n v="604.47"/>
    <x v="0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x v="0"/>
    <n v="786.66"/>
    <x v="0"/>
  </r>
  <r>
    <s v="ORD200015"/>
    <d v="2023-07-17T00:00:00"/>
    <s v="C39416"/>
    <s v="Printer"/>
    <n v="1"/>
    <n v="473.96"/>
    <s v="942 Main St"/>
    <s v="Cash"/>
    <s v="Delivered"/>
    <s v="TRK54930938"/>
    <n v="3"/>
    <s v="No Coupon"/>
    <x v="4"/>
    <n v="473.96"/>
    <x v="0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x v="2"/>
    <n v="1067.6199999999999"/>
    <x v="0"/>
  </r>
  <r>
    <s v="ORD200017"/>
    <d v="2024-03-02T00:00:00"/>
    <s v="C60672"/>
    <s v="Tablet"/>
    <n v="1"/>
    <n v="423.4"/>
    <s v="382 Main St"/>
    <s v="Debit Card"/>
    <s v="Shipped"/>
    <s v="TRK11972116"/>
    <n v="3"/>
    <s v="No Coupon"/>
    <x v="1"/>
    <n v="423.4"/>
    <x v="1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x v="3"/>
    <n v="431.44"/>
    <x v="2"/>
  </r>
  <r>
    <s v="ORD200019"/>
    <d v="2023-01-23T00:00:00"/>
    <s v="C14552"/>
    <s v="Monitor"/>
    <n v="5"/>
    <n v="224"/>
    <s v="273 Main St"/>
    <s v="Cash"/>
    <s v="Returned"/>
    <s v="TRK59101365"/>
    <n v="9"/>
    <s v="SAVE10"/>
    <x v="4"/>
    <n v="1120"/>
    <x v="0"/>
  </r>
  <r>
    <s v="ORD200020"/>
    <d v="2023-05-08T00:00:00"/>
    <s v="C54829"/>
    <s v="Chair"/>
    <n v="5"/>
    <n v="62.51"/>
    <s v="587 Main St"/>
    <s v="Cash"/>
    <s v="Pending"/>
    <s v="TRK16718651"/>
    <n v="9"/>
    <s v="WINTER15"/>
    <x v="0"/>
    <n v="312.55"/>
    <x v="0"/>
  </r>
  <r>
    <s v="ORD200021"/>
    <d v="2024-11-17T00:00:00"/>
    <s v="C99023"/>
    <s v="Monitor"/>
    <n v="4"/>
    <n v="342.95"/>
    <s v="569 Main St"/>
    <s v="Cash"/>
    <s v="Delivered"/>
    <s v="TRK52646983"/>
    <n v="6"/>
    <s v="No Coupon"/>
    <x v="4"/>
    <n v="1371.8"/>
    <x v="1"/>
  </r>
  <r>
    <s v="ORD200022"/>
    <d v="2023-01-29T00:00:00"/>
    <s v="C34416"/>
    <s v="Monitor"/>
    <n v="2"/>
    <n v="49.62"/>
    <s v="633 Main St"/>
    <s v="Online"/>
    <s v="Pending"/>
    <s v="TRK75937350"/>
    <n v="2"/>
    <s v="SAVE10"/>
    <x v="4"/>
    <n v="99.24"/>
    <x v="0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x v="1"/>
    <n v="1093"/>
    <x v="2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x v="1"/>
    <n v="461.9"/>
    <x v="1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x v="2"/>
    <n v="399.98"/>
    <x v="1"/>
  </r>
  <r>
    <s v="ORD200026"/>
    <d v="2024-03-06T00:00:00"/>
    <s v="C21944"/>
    <s v="Laptop"/>
    <n v="5"/>
    <n v="59.55"/>
    <s v="296 Main St"/>
    <s v="Online"/>
    <s v="Delivered"/>
    <s v="TRK80276812"/>
    <n v="6"/>
    <s v="No Coupon"/>
    <x v="1"/>
    <n v="297.75"/>
    <x v="1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x v="4"/>
    <n v="472.74"/>
    <x v="1"/>
  </r>
  <r>
    <s v="ORD200028"/>
    <d v="2023-11-21T00:00:00"/>
    <s v="C59823"/>
    <s v="Phone"/>
    <n v="4"/>
    <n v="160.07"/>
    <s v="568 Main St"/>
    <s v="Online"/>
    <s v="Pending"/>
    <s v="TRK65895539"/>
    <n v="5"/>
    <s v="No Coupon"/>
    <x v="2"/>
    <n v="640.28"/>
    <x v="0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x v="1"/>
    <n v="1270.5899999999999"/>
    <x v="1"/>
  </r>
  <r>
    <s v="ORD200030"/>
    <d v="2025-03-22T00:00:00"/>
    <s v="C44267"/>
    <s v="Monitor"/>
    <n v="2"/>
    <n v="426.7"/>
    <s v="895 Main St"/>
    <s v="Online"/>
    <s v="Pending"/>
    <s v="TRK54751444"/>
    <n v="5"/>
    <s v="SAVE10"/>
    <x v="1"/>
    <n v="853.4"/>
    <x v="2"/>
  </r>
  <r>
    <s v="ORD200031"/>
    <d v="2023-06-30T00:00:00"/>
    <s v="C26445"/>
    <s v="Chair"/>
    <n v="3"/>
    <n v="500.08"/>
    <s v="996 Main St"/>
    <s v="Debit Card"/>
    <s v="Returned"/>
    <s v="TRK31229981"/>
    <n v="6"/>
    <s v="No Coupon"/>
    <x v="3"/>
    <n v="1500.24"/>
    <x v="0"/>
  </r>
  <r>
    <s v="ORD200032"/>
    <d v="2023-05-01T00:00:00"/>
    <s v="C12388"/>
    <s v="Tablet"/>
    <n v="5"/>
    <n v="536.72"/>
    <s v="830 Main St"/>
    <s v="Cash"/>
    <s v="Delivered"/>
    <s v="TRK99261395"/>
    <n v="10"/>
    <s v="No Coupon"/>
    <x v="2"/>
    <n v="2683.6"/>
    <x v="0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x v="3"/>
    <n v="162.77000000000001"/>
    <x v="0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x v="3"/>
    <n v="2306.08"/>
    <x v="0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x v="3"/>
    <n v="930.3"/>
    <x v="1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o Coupon"/>
    <x v="3"/>
    <n v="1068.8599999999999"/>
    <x v="2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x v="0"/>
    <n v="153.47999999999999"/>
    <x v="1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x v="4"/>
    <n v="245.89"/>
    <x v="1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x v="1"/>
    <n v="769.37999999999988"/>
    <x v="2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x v="0"/>
    <n v="688.04"/>
    <x v="0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x v="0"/>
    <n v="1834.35"/>
    <x v="0"/>
  </r>
  <r>
    <s v="ORD200042"/>
    <d v="2024-05-06T00:00:00"/>
    <s v="C28712"/>
    <s v="Printer"/>
    <n v="2"/>
    <n v="151.66"/>
    <s v="980 Main St"/>
    <s v="Cash"/>
    <s v="Cancelled"/>
    <s v="TRK40772558"/>
    <n v="6"/>
    <s v="No Coupon"/>
    <x v="0"/>
    <n v="303.32"/>
    <x v="1"/>
  </r>
  <r>
    <s v="ORD200043"/>
    <d v="2023-12-14T00:00:00"/>
    <s v="C60572"/>
    <s v="Chair"/>
    <n v="3"/>
    <n v="499.21"/>
    <s v="871 Main St"/>
    <s v="Online"/>
    <s v="Cancelled"/>
    <s v="TRK20351666"/>
    <n v="8"/>
    <s v="No Coupon"/>
    <x v="0"/>
    <n v="1497.63"/>
    <x v="0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x v="1"/>
    <n v="1100.3599999999999"/>
    <x v="2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x v="3"/>
    <n v="317.25"/>
    <x v="1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x v="0"/>
    <n v="2200.56"/>
    <x v="1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x v="2"/>
    <n v="419.88"/>
    <x v="0"/>
  </r>
  <r>
    <s v="ORD200048"/>
    <d v="2023-08-26T00:00:00"/>
    <s v="C12408"/>
    <s v="Monitor"/>
    <n v="2"/>
    <n v="80.77"/>
    <s v="464 Main St"/>
    <s v="Debit Card"/>
    <s v="Shipped"/>
    <s v="TRK38938858"/>
    <n v="4"/>
    <s v="No Coupon"/>
    <x v="4"/>
    <n v="161.54"/>
    <x v="0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x v="2"/>
    <n v="30.44"/>
    <x v="0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x v="0"/>
    <n v="179.22"/>
    <x v="0"/>
  </r>
  <r>
    <s v="ORD200051"/>
    <d v="2024-12-30T00:00:00"/>
    <s v="C36778"/>
    <s v="Tablet"/>
    <n v="1"/>
    <n v="388.33"/>
    <s v="434 Main St"/>
    <s v="Cash"/>
    <s v="Returned"/>
    <s v="TRK67610289"/>
    <n v="2"/>
    <s v="SAVE10"/>
    <x v="3"/>
    <n v="388.33"/>
    <x v="1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x v="3"/>
    <n v="586.44000000000005"/>
    <x v="1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x v="4"/>
    <n v="1955.12"/>
    <x v="1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x v="2"/>
    <n v="280.25"/>
    <x v="2"/>
  </r>
  <r>
    <s v="ORD200055"/>
    <d v="2025-06-24T00:00:00"/>
    <s v="C95984"/>
    <s v="Printer"/>
    <n v="3"/>
    <n v="344.4"/>
    <s v="565 Main St"/>
    <s v="Online"/>
    <s v="Cancelled"/>
    <s v="TRK67434829"/>
    <n v="3"/>
    <s v="No Coupon"/>
    <x v="3"/>
    <n v="1033.2"/>
    <x v="2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x v="1"/>
    <n v="1437.63"/>
    <x v="0"/>
  </r>
  <r>
    <s v="ORD200057"/>
    <d v="2023-01-22T00:00:00"/>
    <s v="C88036"/>
    <s v="Printer"/>
    <n v="5"/>
    <n v="314.27"/>
    <s v="842 Main St"/>
    <s v="Cash"/>
    <s v="Returned"/>
    <s v="TRK52470128"/>
    <n v="6"/>
    <s v="SAVE10"/>
    <x v="0"/>
    <n v="1571.35"/>
    <x v="0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x v="4"/>
    <n v="1898.76"/>
    <x v="0"/>
  </r>
  <r>
    <s v="ORD200059"/>
    <d v="2024-09-11T00:00:00"/>
    <s v="C97603"/>
    <s v="Chair"/>
    <n v="4"/>
    <n v="593.27"/>
    <s v="811 Main St"/>
    <s v="Online"/>
    <s v="Shipped"/>
    <s v="TRK47055028"/>
    <n v="5"/>
    <s v="No Coupon"/>
    <x v="3"/>
    <n v="2373.08"/>
    <x v="1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x v="1"/>
    <n v="417.1"/>
    <x v="1"/>
  </r>
  <r>
    <s v="ORD200061"/>
    <d v="2024-03-24T00:00:00"/>
    <s v="C61618"/>
    <s v="Desk"/>
    <n v="4"/>
    <n v="122.2"/>
    <s v="104 Main St"/>
    <s v="Cash"/>
    <s v="Delivered"/>
    <s v="TRK43458485"/>
    <n v="7"/>
    <s v="FREESHIP"/>
    <x v="3"/>
    <n v="488.8"/>
    <x v="1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x v="2"/>
    <n v="86.3"/>
    <x v="0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x v="1"/>
    <n v="564.86"/>
    <x v="2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x v="3"/>
    <n v="391.83"/>
    <x v="2"/>
  </r>
  <r>
    <s v="ORD200065"/>
    <d v="2023-12-30T00:00:00"/>
    <s v="C97735"/>
    <s v="Monitor"/>
    <n v="5"/>
    <n v="81.7"/>
    <s v="385 Main St"/>
    <s v="Credit Card"/>
    <s v="Delivered"/>
    <s v="TRK13743703"/>
    <n v="6"/>
    <s v="No Coupon"/>
    <x v="0"/>
    <n v="408.5"/>
    <x v="0"/>
  </r>
  <r>
    <s v="ORD200066"/>
    <d v="2024-11-15T00:00:00"/>
    <s v="C18104"/>
    <s v="Chair"/>
    <n v="5"/>
    <n v="127.18"/>
    <s v="715 Main St"/>
    <s v="Cash"/>
    <s v="Cancelled"/>
    <s v="TRK15488568"/>
    <n v="9"/>
    <s v="SAVE10"/>
    <x v="1"/>
    <n v="635.90000000000009"/>
    <x v="1"/>
  </r>
  <r>
    <s v="ORD200067"/>
    <d v="2024-12-09T00:00:00"/>
    <s v="C25587"/>
    <s v="Printer"/>
    <n v="4"/>
    <n v="12.1"/>
    <s v="440 Main St"/>
    <s v="Debit Card"/>
    <s v="Cancelled"/>
    <s v="TRK55105323"/>
    <n v="8"/>
    <s v="No Coupon"/>
    <x v="4"/>
    <n v="48.4"/>
    <x v="1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x v="2"/>
    <n v="1472.76"/>
    <x v="0"/>
  </r>
  <r>
    <s v="ORD200069"/>
    <d v="2023-05-11T00:00:00"/>
    <s v="C43338"/>
    <s v="Monitor"/>
    <n v="3"/>
    <n v="478.65"/>
    <s v="552 Main St"/>
    <s v="Online"/>
    <s v="Shipped"/>
    <s v="TRK35241775"/>
    <n v="4"/>
    <s v="No Coupon"/>
    <x v="1"/>
    <n v="1435.95"/>
    <x v="0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x v="0"/>
    <n v="629.21"/>
    <x v="0"/>
  </r>
  <r>
    <s v="ORD200071"/>
    <d v="2025-06-10T00:00:00"/>
    <s v="C37454"/>
    <s v="Monitor"/>
    <n v="3"/>
    <n v="434.45"/>
    <s v="923 Main St"/>
    <s v="Credit Card"/>
    <s v="Pending"/>
    <s v="TRK28252730"/>
    <n v="4"/>
    <s v="No Coupon"/>
    <x v="1"/>
    <n v="1303.3499999999999"/>
    <x v="2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o Coupon"/>
    <x v="3"/>
    <n v="2357.7600000000002"/>
    <x v="1"/>
  </r>
  <r>
    <s v="ORD200073"/>
    <d v="2023-05-03T00:00:00"/>
    <s v="C17269"/>
    <s v="Monitor"/>
    <n v="4"/>
    <n v="433.45"/>
    <s v="129 Main St"/>
    <s v="Gift Card"/>
    <s v="Cancelled"/>
    <s v="TRK79608389"/>
    <n v="4"/>
    <s v="No Coupon"/>
    <x v="3"/>
    <n v="1733.8"/>
    <x v="0"/>
  </r>
  <r>
    <s v="ORD200074"/>
    <d v="2023-06-24T00:00:00"/>
    <s v="C25382"/>
    <s v="Phone"/>
    <n v="5"/>
    <n v="90.87"/>
    <s v="622 Main St"/>
    <s v="Cash"/>
    <s v="Pending"/>
    <s v="TRK64691287"/>
    <n v="5"/>
    <s v="No Coupon"/>
    <x v="0"/>
    <n v="454.35"/>
    <x v="0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x v="2"/>
    <n v="1194.51"/>
    <x v="0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x v="2"/>
    <n v="1531.52"/>
    <x v="1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o Coupon"/>
    <x v="4"/>
    <n v="583.17999999999995"/>
    <x v="1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x v="0"/>
    <n v="701.44"/>
    <x v="1"/>
  </r>
  <r>
    <s v="ORD200079"/>
    <d v="2025-03-10T00:00:00"/>
    <s v="C76700"/>
    <s v="Tablet"/>
    <n v="2"/>
    <n v="311.91000000000003"/>
    <s v="103 Main St"/>
    <s v="Online"/>
    <s v="Shipped"/>
    <s v="TRK13036341"/>
    <n v="2"/>
    <s v="No Coupon"/>
    <x v="3"/>
    <n v="623.82000000000005"/>
    <x v="2"/>
  </r>
  <r>
    <s v="ORD200080"/>
    <d v="2023-06-27T00:00:00"/>
    <s v="C29041"/>
    <s v="Phone"/>
    <n v="3"/>
    <n v="589.55999999999995"/>
    <s v="591 Main St"/>
    <s v="Online"/>
    <s v="Returned"/>
    <s v="TRK28840655"/>
    <n v="6"/>
    <s v="No Coupon"/>
    <x v="3"/>
    <n v="1768.68"/>
    <x v="0"/>
  </r>
  <r>
    <s v="ORD200081"/>
    <d v="2023-06-08T00:00:00"/>
    <s v="C29314"/>
    <s v="Monitor"/>
    <n v="2"/>
    <n v="394.3"/>
    <s v="496 Main St"/>
    <s v="Cash"/>
    <s v="Shipped"/>
    <s v="TRK59876213"/>
    <n v="6"/>
    <s v="FREESHIP"/>
    <x v="2"/>
    <n v="788.6"/>
    <x v="0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x v="4"/>
    <n v="2260.8000000000002"/>
    <x v="1"/>
  </r>
  <r>
    <s v="ORD200083"/>
    <d v="2023-08-22T00:00:00"/>
    <s v="C15681"/>
    <s v="Laptop"/>
    <n v="4"/>
    <n v="540.41"/>
    <s v="989 Main St"/>
    <s v="Credit Card"/>
    <s v="Cancelled"/>
    <s v="TRK75112172"/>
    <n v="6"/>
    <s v="No Coupon"/>
    <x v="1"/>
    <n v="2161.64"/>
    <x v="0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x v="0"/>
    <n v="330.98"/>
    <x v="0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x v="2"/>
    <n v="440.18999999999988"/>
    <x v="1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x v="1"/>
    <n v="3215.15"/>
    <x v="1"/>
  </r>
  <r>
    <s v="ORD200087"/>
    <d v="2024-10-10T00:00:00"/>
    <s v="C91245"/>
    <s v="Tablet"/>
    <n v="3"/>
    <n v="225.11"/>
    <s v="915 Main St"/>
    <s v="Cash"/>
    <s v="Shipped"/>
    <s v="TRK46976391"/>
    <n v="4"/>
    <s v="SAVE10"/>
    <x v="3"/>
    <n v="675.33"/>
    <x v="1"/>
  </r>
  <r>
    <s v="ORD200088"/>
    <d v="2025-06-05T00:00:00"/>
    <s v="C75439"/>
    <s v="Desk"/>
    <n v="3"/>
    <n v="114.81"/>
    <s v="318 Main St"/>
    <s v="Gift Card"/>
    <s v="Cancelled"/>
    <s v="TRK19831653"/>
    <n v="7"/>
    <s v="No Coupon"/>
    <x v="4"/>
    <n v="344.43"/>
    <x v="2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x v="4"/>
    <n v="2276.65"/>
    <x v="2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x v="2"/>
    <n v="728.32"/>
    <x v="0"/>
  </r>
  <r>
    <s v="ORD200091"/>
    <d v="2023-03-15T00:00:00"/>
    <s v="C98216"/>
    <s v="Laptop"/>
    <n v="5"/>
    <n v="492.75"/>
    <s v="196 Main St"/>
    <s v="Cash"/>
    <s v="Shipped"/>
    <s v="TRK40986666"/>
    <n v="6"/>
    <s v="WINTER15"/>
    <x v="1"/>
    <n v="2463.75"/>
    <x v="0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x v="3"/>
    <n v="194.44"/>
    <x v="1"/>
  </r>
  <r>
    <s v="ORD200093"/>
    <d v="2023-01-14T00:00:00"/>
    <s v="C97262"/>
    <s v="Desk"/>
    <n v="4"/>
    <n v="431.01"/>
    <s v="837 Main St"/>
    <s v="Credit Card"/>
    <s v="Returned"/>
    <s v="TRK65990229"/>
    <n v="7"/>
    <s v="No Coupon"/>
    <x v="1"/>
    <n v="1724.04"/>
    <x v="0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x v="0"/>
    <n v="531.17999999999995"/>
    <x v="0"/>
  </r>
  <r>
    <s v="ORD200095"/>
    <d v="2023-03-24T00:00:00"/>
    <s v="C76761"/>
    <s v="Printer"/>
    <n v="4"/>
    <n v="117.51"/>
    <s v="839 Main St"/>
    <s v="Debit Card"/>
    <s v="Returned"/>
    <s v="TRK60179774"/>
    <n v="7"/>
    <s v="No Coupon"/>
    <x v="1"/>
    <n v="470.04"/>
    <x v="0"/>
  </r>
  <r>
    <s v="ORD200096"/>
    <d v="2024-06-01T00:00:00"/>
    <s v="C93007"/>
    <s v="Phone"/>
    <n v="2"/>
    <n v="232.83"/>
    <s v="103 Main St"/>
    <s v="Gift Card"/>
    <s v="Delivered"/>
    <s v="TRK85696091"/>
    <n v="7"/>
    <s v="No Coupon"/>
    <x v="0"/>
    <n v="465.66"/>
    <x v="1"/>
  </r>
  <r>
    <s v="ORD200097"/>
    <d v="2025-01-21T00:00:00"/>
    <s v="C15624"/>
    <s v="Tablet"/>
    <n v="5"/>
    <n v="619.52"/>
    <s v="922 Main St"/>
    <s v="Debit Card"/>
    <s v="Pending"/>
    <s v="TRK40621141"/>
    <n v="9"/>
    <s v="No Coupon"/>
    <x v="2"/>
    <n v="3097.6"/>
    <x v="2"/>
  </r>
  <r>
    <s v="ORD200098"/>
    <d v="2023-01-14T00:00:00"/>
    <s v="C70921"/>
    <s v="Printer"/>
    <n v="2"/>
    <n v="228.54"/>
    <s v="533 Main St"/>
    <s v="Debit Card"/>
    <s v="Pending"/>
    <s v="TRK54983109"/>
    <n v="3"/>
    <s v="No Coupon"/>
    <x v="2"/>
    <n v="457.08"/>
    <x v="0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x v="2"/>
    <n v="201.58"/>
    <x v="2"/>
  </r>
  <r>
    <s v="ORD200100"/>
    <d v="2023-02-17T00:00:00"/>
    <s v="C74866"/>
    <s v="Phone"/>
    <n v="3"/>
    <n v="664.79"/>
    <s v="743 Main St"/>
    <s v="Online"/>
    <s v="Delivered"/>
    <s v="TRK53783265"/>
    <n v="6"/>
    <s v="No Coupon"/>
    <x v="3"/>
    <n v="1994.37"/>
    <x v="0"/>
  </r>
  <r>
    <s v="ORD200101"/>
    <d v="2023-11-25T00:00:00"/>
    <s v="C15283"/>
    <s v="Printer"/>
    <n v="1"/>
    <n v="381.02"/>
    <s v="152 Main St"/>
    <s v="Cash"/>
    <s v="Shipped"/>
    <s v="TRK19286291"/>
    <n v="6"/>
    <s v="No Coupon"/>
    <x v="4"/>
    <n v="381.02"/>
    <x v="0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x v="2"/>
    <n v="140.68"/>
    <x v="0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x v="2"/>
    <n v="873.72"/>
    <x v="2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x v="2"/>
    <n v="582.04"/>
    <x v="1"/>
  </r>
  <r>
    <s v="ORD200105"/>
    <d v="2024-10-24T00:00:00"/>
    <s v="C72290"/>
    <s v="Printer"/>
    <n v="3"/>
    <n v="185.4"/>
    <s v="810 Main St"/>
    <s v="Gift Card"/>
    <s v="Cancelled"/>
    <s v="TRK68792129"/>
    <n v="7"/>
    <s v="No Coupon"/>
    <x v="3"/>
    <n v="556.20000000000005"/>
    <x v="1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x v="2"/>
    <n v="1395.15"/>
    <x v="0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x v="0"/>
    <n v="3353.75"/>
    <x v="0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x v="2"/>
    <n v="241.9"/>
    <x v="1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x v="1"/>
    <n v="1778.61"/>
    <x v="0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x v="0"/>
    <n v="220.77"/>
    <x v="1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x v="4"/>
    <n v="927.66000000000008"/>
    <x v="2"/>
  </r>
  <r>
    <s v="ORD200112"/>
    <d v="2023-01-01T00:00:00"/>
    <s v="C81366"/>
    <s v="Monitor"/>
    <n v="1"/>
    <n v="410.6"/>
    <s v="423 Main St"/>
    <s v="Online"/>
    <s v="Cancelled"/>
    <s v="TRK17062206"/>
    <n v="2"/>
    <s v="WINTER15"/>
    <x v="1"/>
    <n v="410.6"/>
    <x v="0"/>
  </r>
  <r>
    <s v="ORD200113"/>
    <d v="2024-01-17T00:00:00"/>
    <s v="C65905"/>
    <s v="Laptop"/>
    <n v="5"/>
    <n v="190.08"/>
    <s v="605 Main St"/>
    <s v="Cash"/>
    <s v="Shipped"/>
    <s v="TRK73954365"/>
    <n v="9"/>
    <s v="FREESHIP"/>
    <x v="0"/>
    <n v="950.40000000000009"/>
    <x v="1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x v="4"/>
    <n v="2492.4"/>
    <x v="2"/>
  </r>
  <r>
    <s v="ORD200115"/>
    <d v="2023-11-27T00:00:00"/>
    <s v="C32580"/>
    <s v="Phone"/>
    <n v="5"/>
    <n v="374.99"/>
    <s v="122 Main St"/>
    <s v="Online"/>
    <s v="Shipped"/>
    <s v="TRK23670394"/>
    <n v="9"/>
    <s v="SAVE10"/>
    <x v="3"/>
    <n v="1874.95"/>
    <x v="0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x v="3"/>
    <n v="1165.4000000000001"/>
    <x v="0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x v="1"/>
    <n v="535.5"/>
    <x v="0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x v="4"/>
    <n v="2513.5500000000002"/>
    <x v="0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x v="1"/>
    <n v="1069.3399999999999"/>
    <x v="2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x v="0"/>
    <n v="2517.36"/>
    <x v="0"/>
  </r>
  <r>
    <s v="ORD200121"/>
    <d v="2023-11-30T00:00:00"/>
    <s v="C89822"/>
    <s v="Desk"/>
    <n v="1"/>
    <n v="410.78"/>
    <s v="673 Main St"/>
    <s v="Cash"/>
    <s v="Cancelled"/>
    <s v="TRK24138598"/>
    <n v="1"/>
    <s v="FREESHIP"/>
    <x v="0"/>
    <n v="410.78"/>
    <x v="0"/>
  </r>
  <r>
    <s v="ORD200122"/>
    <d v="2024-04-15T00:00:00"/>
    <s v="C96787"/>
    <s v="Laptop"/>
    <n v="2"/>
    <n v="533.02"/>
    <s v="588 Main St"/>
    <s v="Gift Card"/>
    <s v="Shipped"/>
    <s v="TRK30422853"/>
    <n v="2"/>
    <s v="No Coupon"/>
    <x v="3"/>
    <n v="1066.04"/>
    <x v="1"/>
  </r>
  <r>
    <s v="ORD200123"/>
    <d v="2023-07-06T00:00:00"/>
    <s v="C86064"/>
    <s v="Desk"/>
    <n v="3"/>
    <n v="278.04000000000002"/>
    <s v="727 Main St"/>
    <s v="Online"/>
    <s v="Delivered"/>
    <s v="TRK62182901"/>
    <n v="5"/>
    <s v="No Coupon"/>
    <x v="0"/>
    <n v="834.12000000000012"/>
    <x v="0"/>
  </r>
  <r>
    <s v="ORD200124"/>
    <d v="2024-07-28T00:00:00"/>
    <s v="C97148"/>
    <s v="Printer"/>
    <n v="4"/>
    <n v="283.79000000000002"/>
    <s v="563 Main St"/>
    <s v="Online"/>
    <s v="Pending"/>
    <s v="TRK85321126"/>
    <n v="8"/>
    <s v="No Coupon"/>
    <x v="4"/>
    <n v="1135.1600000000001"/>
    <x v="1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x v="2"/>
    <n v="1025.3"/>
    <x v="1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x v="4"/>
    <n v="1102"/>
    <x v="2"/>
  </r>
  <r>
    <s v="ORD200127"/>
    <d v="2023-08-10T00:00:00"/>
    <s v="C71486"/>
    <s v="Desk"/>
    <n v="3"/>
    <n v="469.32"/>
    <s v="365 Main St"/>
    <s v="Debit Card"/>
    <s v="Shipped"/>
    <s v="TRK73929833"/>
    <n v="3"/>
    <s v="No Coupon"/>
    <x v="4"/>
    <n v="1407.96"/>
    <x v="0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x v="4"/>
    <n v="84.28"/>
    <x v="0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x v="3"/>
    <n v="1055.72"/>
    <x v="0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x v="3"/>
    <n v="1503.9"/>
    <x v="2"/>
  </r>
  <r>
    <s v="ORD200131"/>
    <d v="2023-01-08T00:00:00"/>
    <s v="C72862"/>
    <s v="Tablet"/>
    <n v="1"/>
    <n v="84.8"/>
    <s v="606 Main St"/>
    <s v="Gift Card"/>
    <s v="Pending"/>
    <s v="TRK51648833"/>
    <n v="5"/>
    <s v="No Coupon"/>
    <x v="0"/>
    <n v="84.8"/>
    <x v="0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x v="2"/>
    <n v="1803"/>
    <x v="0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x v="4"/>
    <n v="1208.2"/>
    <x v="2"/>
  </r>
  <r>
    <s v="ORD200134"/>
    <d v="2025-06-23T00:00:00"/>
    <s v="C16253"/>
    <s v="Laptop"/>
    <n v="2"/>
    <n v="199.7"/>
    <s v="583 Main St"/>
    <s v="Cash"/>
    <s v="Pending"/>
    <s v="TRK17354894"/>
    <n v="4"/>
    <s v="No Coupon"/>
    <x v="2"/>
    <n v="399.4"/>
    <x v="2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x v="1"/>
    <n v="137.62"/>
    <x v="0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x v="0"/>
    <n v="44.35"/>
    <x v="1"/>
  </r>
  <r>
    <s v="ORD200137"/>
    <d v="2024-11-26T00:00:00"/>
    <s v="C50682"/>
    <s v="Monitor"/>
    <n v="2"/>
    <n v="250.98"/>
    <s v="598 Main St"/>
    <s v="Credit Card"/>
    <s v="Delivered"/>
    <s v="TRK12242337"/>
    <n v="5"/>
    <s v="No Coupon"/>
    <x v="4"/>
    <n v="501.96"/>
    <x v="1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x v="4"/>
    <n v="298.06"/>
    <x v="0"/>
  </r>
  <r>
    <s v="ORD200139"/>
    <d v="2023-04-10T00:00:00"/>
    <s v="C61440"/>
    <s v="Phone"/>
    <n v="1"/>
    <n v="583.9"/>
    <s v="714 Main St"/>
    <s v="Cash"/>
    <s v="Returned"/>
    <s v="TRK33114521"/>
    <n v="1"/>
    <s v="No Coupon"/>
    <x v="2"/>
    <n v="583.9"/>
    <x v="0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x v="2"/>
    <n v="1584.42"/>
    <x v="2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x v="0"/>
    <n v="2052.42"/>
    <x v="0"/>
  </r>
  <r>
    <s v="ORD200142"/>
    <d v="2023-09-06T00:00:00"/>
    <s v="C86374"/>
    <s v="Desk"/>
    <n v="5"/>
    <n v="272.77"/>
    <s v="573 Main St"/>
    <s v="Cash"/>
    <s v="Pending"/>
    <s v="TRK79451491"/>
    <n v="7"/>
    <s v="WINTER15"/>
    <x v="2"/>
    <n v="1363.85"/>
    <x v="0"/>
  </r>
  <r>
    <s v="ORD200143"/>
    <d v="2024-06-13T00:00:00"/>
    <s v="C66521"/>
    <s v="Chair"/>
    <n v="4"/>
    <n v="400.07"/>
    <s v="933 Main St"/>
    <s v="Online"/>
    <s v="Shipped"/>
    <s v="TRK34654244"/>
    <n v="5"/>
    <s v="No Coupon"/>
    <x v="1"/>
    <n v="1600.28"/>
    <x v="1"/>
  </r>
  <r>
    <s v="ORD200144"/>
    <d v="2023-08-04T00:00:00"/>
    <s v="C63365"/>
    <s v="Desk"/>
    <n v="5"/>
    <n v="219.78"/>
    <s v="895 Main St"/>
    <s v="Credit Card"/>
    <s v="Pending"/>
    <s v="TRK80100887"/>
    <n v="8"/>
    <s v="No Coupon"/>
    <x v="3"/>
    <n v="1098.9000000000001"/>
    <x v="0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x v="4"/>
    <n v="440.73"/>
    <x v="1"/>
  </r>
  <r>
    <s v="ORD200146"/>
    <d v="2025-04-30T00:00:00"/>
    <s v="C84645"/>
    <s v="Tablet"/>
    <n v="2"/>
    <n v="411.49"/>
    <s v="404 Main St"/>
    <s v="Credit Card"/>
    <s v="Returned"/>
    <s v="TRK68893369"/>
    <n v="4"/>
    <s v="No Coupon"/>
    <x v="0"/>
    <n v="822.98"/>
    <x v="2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x v="4"/>
    <n v="930.36"/>
    <x v="2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x v="4"/>
    <n v="639.82000000000005"/>
    <x v="1"/>
  </r>
  <r>
    <s v="ORD200149"/>
    <d v="2023-12-27T00:00:00"/>
    <s v="C39671"/>
    <s v="Laptop"/>
    <n v="1"/>
    <n v="217.56"/>
    <s v="174 Main St"/>
    <s v="Debit Card"/>
    <s v="Delivered"/>
    <s v="TRK47153818"/>
    <n v="3"/>
    <s v="No Coupon"/>
    <x v="3"/>
    <n v="217.56"/>
    <x v="0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x v="4"/>
    <n v="211.14"/>
    <x v="0"/>
  </r>
  <r>
    <s v="ORD200151"/>
    <d v="2023-12-01T00:00:00"/>
    <s v="C32960"/>
    <s v="Printer"/>
    <n v="5"/>
    <n v="444.76"/>
    <s v="947 Main St"/>
    <s v="Debit Card"/>
    <s v="Returned"/>
    <s v="TRK91226500"/>
    <n v="7"/>
    <s v="No Coupon"/>
    <x v="2"/>
    <n v="2223.8000000000002"/>
    <x v="0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x v="1"/>
    <n v="798.08"/>
    <x v="2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x v="0"/>
    <n v="2137.92"/>
    <x v="1"/>
  </r>
  <r>
    <s v="ORD200154"/>
    <d v="2023-07-20T00:00:00"/>
    <s v="C73587"/>
    <s v="Phone"/>
    <n v="4"/>
    <n v="408.21"/>
    <s v="727 Main St"/>
    <s v="Credit Card"/>
    <s v="Pending"/>
    <s v="TRK13955543"/>
    <n v="9"/>
    <s v="No Coupon"/>
    <x v="0"/>
    <n v="1632.84"/>
    <x v="0"/>
  </r>
  <r>
    <s v="ORD200155"/>
    <d v="2023-02-27T00:00:00"/>
    <s v="C62740"/>
    <s v="Phone"/>
    <n v="1"/>
    <n v="424.4"/>
    <s v="446 Main St"/>
    <s v="Online"/>
    <s v="Shipped"/>
    <s v="TRK20706408"/>
    <n v="6"/>
    <s v="WINTER15"/>
    <x v="1"/>
    <n v="424.4"/>
    <x v="0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x v="2"/>
    <n v="539.66"/>
    <x v="1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x v="3"/>
    <n v="1129.1600000000001"/>
    <x v="2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x v="0"/>
    <n v="331.06"/>
    <x v="1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x v="2"/>
    <n v="299.35000000000002"/>
    <x v="0"/>
  </r>
  <r>
    <s v="ORD200160"/>
    <d v="2023-02-17T00:00:00"/>
    <s v="C38669"/>
    <s v="Monitor"/>
    <n v="4"/>
    <n v="101.32"/>
    <s v="240 Main St"/>
    <s v="Cash"/>
    <s v="Pending"/>
    <s v="TRK81738254"/>
    <n v="7"/>
    <s v="No Coupon"/>
    <x v="1"/>
    <n v="405.28"/>
    <x v="0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x v="3"/>
    <n v="211.14"/>
    <x v="1"/>
  </r>
  <r>
    <s v="ORD200162"/>
    <d v="2023-07-27T00:00:00"/>
    <s v="C82313"/>
    <s v="Chair"/>
    <n v="3"/>
    <n v="65.86"/>
    <s v="917 Main St"/>
    <s v="Online"/>
    <s v="Pending"/>
    <s v="TRK79854624"/>
    <n v="8"/>
    <s v="WINTER15"/>
    <x v="4"/>
    <n v="197.58"/>
    <x v="0"/>
  </r>
  <r>
    <s v="ORD200163"/>
    <d v="2025-06-24T00:00:00"/>
    <s v="C99589"/>
    <s v="Tablet"/>
    <n v="1"/>
    <n v="641.39"/>
    <s v="277 Main St"/>
    <s v="Online"/>
    <s v="Cancelled"/>
    <s v="TRK16695001"/>
    <n v="1"/>
    <s v="No Coupon"/>
    <x v="1"/>
    <n v="641.39"/>
    <x v="2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x v="4"/>
    <n v="2682.9"/>
    <x v="0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x v="4"/>
    <n v="1000.58"/>
    <x v="1"/>
  </r>
  <r>
    <s v="ORD200166"/>
    <d v="2025-03-04T00:00:00"/>
    <s v="C28889"/>
    <s v="Chair"/>
    <n v="3"/>
    <n v="86.29"/>
    <s v="565 Main St"/>
    <s v="Cash"/>
    <s v="Delivered"/>
    <s v="TRK23791726"/>
    <n v="6"/>
    <s v="WINTER15"/>
    <x v="0"/>
    <n v="258.87"/>
    <x v="2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x v="2"/>
    <n v="768.28"/>
    <x v="0"/>
  </r>
  <r>
    <s v="ORD200168"/>
    <d v="2025-01-04T00:00:00"/>
    <s v="C49517"/>
    <s v="Printer"/>
    <n v="1"/>
    <n v="594.96"/>
    <s v="878 Main St"/>
    <s v="Cash"/>
    <s v="Returned"/>
    <s v="TRK78551375"/>
    <n v="6"/>
    <s v="No Coupon"/>
    <x v="3"/>
    <n v="594.96"/>
    <x v="2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x v="2"/>
    <n v="427.82"/>
    <x v="1"/>
  </r>
  <r>
    <s v="ORD200170"/>
    <d v="2025-04-04T00:00:00"/>
    <s v="C80223"/>
    <s v="Desk"/>
    <n v="4"/>
    <n v="662.94"/>
    <s v="535 Main St"/>
    <s v="Cash"/>
    <s v="Cancelled"/>
    <s v="TRK68632951"/>
    <n v="8"/>
    <s v="SAVE10"/>
    <x v="0"/>
    <n v="2651.76"/>
    <x v="2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x v="0"/>
    <n v="296.44"/>
    <x v="0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x v="2"/>
    <n v="254.12"/>
    <x v="2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x v="4"/>
    <n v="1993.38"/>
    <x v="1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x v="2"/>
    <n v="2403.2399999999998"/>
    <x v="1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x v="1"/>
    <n v="341.7"/>
    <x v="2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x v="1"/>
    <n v="1723.32"/>
    <x v="2"/>
  </r>
  <r>
    <s v="ORD200177"/>
    <d v="2023-08-05T00:00:00"/>
    <s v="C55632"/>
    <s v="Chair"/>
    <n v="5"/>
    <n v="431.69"/>
    <s v="354 Main St"/>
    <s v="Credit Card"/>
    <s v="Pending"/>
    <s v="TRK13003066"/>
    <n v="10"/>
    <s v="No Coupon"/>
    <x v="3"/>
    <n v="2158.4499999999998"/>
    <x v="0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x v="4"/>
    <n v="2048.2399999999998"/>
    <x v="1"/>
  </r>
  <r>
    <s v="ORD200179"/>
    <d v="2024-11-24T00:00:00"/>
    <s v="C27401"/>
    <s v="Laptop"/>
    <n v="3"/>
    <n v="539.91"/>
    <s v="500 Main St"/>
    <s v="Credit Card"/>
    <s v="Delivered"/>
    <s v="TRK14332053"/>
    <n v="8"/>
    <s v="No Coupon"/>
    <x v="2"/>
    <n v="1619.73"/>
    <x v="1"/>
  </r>
  <r>
    <s v="ORD200180"/>
    <d v="2023-03-18T00:00:00"/>
    <s v="C87216"/>
    <s v="Tablet"/>
    <n v="5"/>
    <n v="316.07"/>
    <s v="970 Main St"/>
    <s v="Cash"/>
    <s v="Returned"/>
    <s v="TRK18713727"/>
    <n v="10"/>
    <s v="No Coupon"/>
    <x v="4"/>
    <n v="1580.35"/>
    <x v="0"/>
  </r>
  <r>
    <s v="ORD200181"/>
    <d v="2024-08-31T00:00:00"/>
    <s v="C38966"/>
    <s v="Printer"/>
    <n v="5"/>
    <n v="404.39"/>
    <s v="247 Main St"/>
    <s v="Online"/>
    <s v="Shipped"/>
    <s v="TRK17205146"/>
    <n v="10"/>
    <s v="No Coupon"/>
    <x v="1"/>
    <n v="2021.95"/>
    <x v="1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x v="4"/>
    <n v="600.54"/>
    <x v="2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x v="2"/>
    <n v="931.4"/>
    <x v="1"/>
  </r>
  <r>
    <s v="ORD200184"/>
    <d v="2024-04-04T00:00:00"/>
    <s v="C65180"/>
    <s v="Tablet"/>
    <n v="4"/>
    <n v="214.54"/>
    <s v="231 Main St"/>
    <s v="Gift Card"/>
    <s v="Cancelled"/>
    <s v="TRK39255469"/>
    <n v="7"/>
    <s v="No Coupon"/>
    <x v="1"/>
    <n v="858.16"/>
    <x v="1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x v="1"/>
    <n v="210.7"/>
    <x v="2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x v="3"/>
    <n v="267.10000000000002"/>
    <x v="0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x v="1"/>
    <n v="590.87"/>
    <x v="0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x v="1"/>
    <n v="727.82"/>
    <x v="2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x v="2"/>
    <n v="2147.25"/>
    <x v="0"/>
  </r>
  <r>
    <s v="ORD200190"/>
    <d v="2024-08-31T00:00:00"/>
    <s v="C35483"/>
    <s v="Printer"/>
    <n v="3"/>
    <n v="223.7"/>
    <s v="725 Main St"/>
    <s v="Cash"/>
    <s v="Returned"/>
    <s v="TRK79638203"/>
    <n v="3"/>
    <s v="SAVE10"/>
    <x v="2"/>
    <n v="671.09999999999991"/>
    <x v="1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x v="4"/>
    <n v="977.74"/>
    <x v="2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x v="4"/>
    <n v="645.46"/>
    <x v="0"/>
  </r>
  <r>
    <s v="ORD200193"/>
    <d v="2023-07-21T00:00:00"/>
    <s v="C11644"/>
    <s v="Printer"/>
    <n v="1"/>
    <n v="46.66"/>
    <s v="429 Main St"/>
    <s v="Cash"/>
    <s v="Cancelled"/>
    <s v="TRK81320339"/>
    <n v="6"/>
    <s v="No Coupon"/>
    <x v="4"/>
    <n v="46.66"/>
    <x v="0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x v="4"/>
    <n v="249.57"/>
    <x v="1"/>
  </r>
  <r>
    <s v="ORD200195"/>
    <d v="2024-04-22T00:00:00"/>
    <s v="C63619"/>
    <s v="Chair"/>
    <n v="3"/>
    <n v="619.21"/>
    <s v="801 Main St"/>
    <s v="Debit Card"/>
    <s v="Cancelled"/>
    <s v="TRK65385674"/>
    <n v="6"/>
    <s v="No Coupon"/>
    <x v="2"/>
    <n v="1857.63"/>
    <x v="1"/>
  </r>
  <r>
    <s v="ORD200196"/>
    <d v="2025-01-24T00:00:00"/>
    <s v="C40882"/>
    <s v="Desk"/>
    <n v="4"/>
    <n v="217.13"/>
    <s v="719 Main St"/>
    <s v="Cash"/>
    <s v="Delivered"/>
    <s v="TRK64165503"/>
    <n v="8"/>
    <s v="WINTER15"/>
    <x v="2"/>
    <n v="868.52"/>
    <x v="2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x v="1"/>
    <n v="1107.55"/>
    <x v="0"/>
  </r>
  <r>
    <s v="ORD200198"/>
    <d v="2024-06-11T00:00:00"/>
    <s v="C37594"/>
    <s v="Laptop"/>
    <n v="4"/>
    <n v="340.3"/>
    <s v="926 Main St"/>
    <s v="Cash"/>
    <s v="Cancelled"/>
    <s v="TRK94405162"/>
    <n v="8"/>
    <s v="SAVE10"/>
    <x v="1"/>
    <n v="1361.2"/>
    <x v="1"/>
  </r>
  <r>
    <s v="ORD200199"/>
    <d v="2025-01-23T00:00:00"/>
    <s v="C87524"/>
    <s v="Phone"/>
    <n v="1"/>
    <n v="625"/>
    <s v="358 Main St"/>
    <s v="Online"/>
    <s v="Returned"/>
    <s v="TRK21114341"/>
    <n v="5"/>
    <s v="WINTER15"/>
    <x v="4"/>
    <n v="625"/>
    <x v="2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x v="4"/>
    <n v="2166.3000000000002"/>
    <x v="2"/>
  </r>
  <r>
    <s v="ORD200201"/>
    <d v="2023-06-18T00:00:00"/>
    <s v="C10126"/>
    <s v="Monitor"/>
    <n v="2"/>
    <n v="674.9"/>
    <s v="146 Main St"/>
    <s v="Online"/>
    <s v="Shipped"/>
    <s v="TRK75607531"/>
    <n v="4"/>
    <s v="SAVE10"/>
    <x v="3"/>
    <n v="1349.8"/>
    <x v="0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x v="2"/>
    <n v="761.93999999999994"/>
    <x v="2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x v="0"/>
    <n v="1070.52"/>
    <x v="2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x v="3"/>
    <n v="1654.84"/>
    <x v="0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o Coupon"/>
    <x v="2"/>
    <n v="442.17"/>
    <x v="0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x v="2"/>
    <n v="916.4"/>
    <x v="1"/>
  </r>
  <r>
    <s v="ORD200207"/>
    <d v="2025-03-18T00:00:00"/>
    <s v="C54595"/>
    <s v="Phone"/>
    <n v="1"/>
    <n v="121.96"/>
    <s v="999 Main St"/>
    <s v="Debit Card"/>
    <s v="Delivered"/>
    <s v="TRK44416659"/>
    <n v="3"/>
    <s v="No Coupon"/>
    <x v="4"/>
    <n v="121.96"/>
    <x v="2"/>
  </r>
  <r>
    <s v="ORD200208"/>
    <d v="2024-10-08T00:00:00"/>
    <s v="C87777"/>
    <s v="Desk"/>
    <n v="2"/>
    <n v="408.32"/>
    <s v="597 Main St"/>
    <s v="Online"/>
    <s v="Shipped"/>
    <s v="TRK29003608"/>
    <n v="3"/>
    <s v="FREESHIP"/>
    <x v="3"/>
    <n v="816.64"/>
    <x v="1"/>
  </r>
  <r>
    <s v="ORD200209"/>
    <d v="2023-08-29T00:00:00"/>
    <s v="C35854"/>
    <s v="Tablet"/>
    <n v="5"/>
    <n v="187.97"/>
    <s v="706 Main St"/>
    <s v="Cash"/>
    <s v="Returned"/>
    <s v="TRK30615168"/>
    <n v="9"/>
    <s v="SAVE10"/>
    <x v="4"/>
    <n v="939.85"/>
    <x v="0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x v="3"/>
    <n v="1075.44"/>
    <x v="1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x v="2"/>
    <n v="580.74"/>
    <x v="2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x v="2"/>
    <n v="265.38"/>
    <x v="0"/>
  </r>
  <r>
    <s v="ORD200213"/>
    <d v="2023-04-20T00:00:00"/>
    <s v="C71122"/>
    <s v="Laptop"/>
    <n v="1"/>
    <n v="634.4"/>
    <s v="317 Main St"/>
    <s v="Cash"/>
    <s v="Cancelled"/>
    <s v="TRK54757882"/>
    <n v="6"/>
    <s v="SAVE10"/>
    <x v="2"/>
    <n v="634.4"/>
    <x v="0"/>
  </r>
  <r>
    <s v="ORD200214"/>
    <d v="2024-08-21T00:00:00"/>
    <s v="C29483"/>
    <s v="Desk"/>
    <n v="4"/>
    <n v="305.72000000000003"/>
    <s v="673 Main St"/>
    <s v="Online"/>
    <s v="Delivered"/>
    <s v="TRK89423603"/>
    <n v="5"/>
    <s v="No Coupon"/>
    <x v="3"/>
    <n v="1222.8800000000001"/>
    <x v="1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x v="3"/>
    <n v="303.60000000000002"/>
    <x v="0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x v="4"/>
    <n v="1984"/>
    <x v="2"/>
  </r>
  <r>
    <s v="ORD200217"/>
    <d v="2024-05-20T00:00:00"/>
    <s v="C61549"/>
    <s v="Desk"/>
    <n v="4"/>
    <n v="321.51"/>
    <s v="908 Main St"/>
    <s v="Cash"/>
    <s v="Returned"/>
    <s v="TRK65596914"/>
    <n v="9"/>
    <s v="No Coupon"/>
    <x v="4"/>
    <n v="1286.04"/>
    <x v="1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x v="0"/>
    <n v="337.38"/>
    <x v="0"/>
  </r>
  <r>
    <s v="ORD200219"/>
    <d v="2025-05-02T00:00:00"/>
    <s v="C48946"/>
    <s v="Laptop"/>
    <n v="5"/>
    <n v="61.97"/>
    <s v="457 Main St"/>
    <s v="Cash"/>
    <s v="Delivered"/>
    <s v="TRK99387220"/>
    <n v="6"/>
    <s v="SAVE10"/>
    <x v="2"/>
    <n v="309.85000000000002"/>
    <x v="2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x v="1"/>
    <n v="746.34"/>
    <x v="0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x v="4"/>
    <n v="3196.85"/>
    <x v="1"/>
  </r>
  <r>
    <s v="ORD200222"/>
    <d v="2023-05-04T00:00:00"/>
    <s v="C43124"/>
    <s v="Chair"/>
    <n v="4"/>
    <n v="693.36"/>
    <s v="931 Main St"/>
    <s v="Online"/>
    <s v="Shipped"/>
    <s v="TRK17293348"/>
    <n v="8"/>
    <s v="No Coupon"/>
    <x v="0"/>
    <n v="2773.44"/>
    <x v="0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x v="0"/>
    <n v="2771.64"/>
    <x v="1"/>
  </r>
  <r>
    <s v="ORD200224"/>
    <d v="2023-09-23T00:00:00"/>
    <s v="C18567"/>
    <s v="Printer"/>
    <n v="4"/>
    <n v="91.46"/>
    <s v="507 Main St"/>
    <s v="Cash"/>
    <s v="Cancelled"/>
    <s v="TRK17554673"/>
    <n v="9"/>
    <s v="SAVE10"/>
    <x v="1"/>
    <n v="365.84"/>
    <x v="0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x v="4"/>
    <n v="821.87999999999988"/>
    <x v="1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o Coupon"/>
    <x v="0"/>
    <n v="1764.15"/>
    <x v="2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x v="3"/>
    <n v="730.34"/>
    <x v="0"/>
  </r>
  <r>
    <s v="ORD200228"/>
    <d v="2023-05-17T00:00:00"/>
    <s v="C57867"/>
    <s v="Chair"/>
    <n v="4"/>
    <n v="385.92"/>
    <s v="579 Main St"/>
    <s v="Credit Card"/>
    <s v="Cancelled"/>
    <s v="TRK92055007"/>
    <n v="8"/>
    <s v="No Coupon"/>
    <x v="0"/>
    <n v="1543.68"/>
    <x v="0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x v="3"/>
    <n v="562.61"/>
    <x v="2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x v="2"/>
    <n v="247.64"/>
    <x v="0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x v="0"/>
    <n v="167.6"/>
    <x v="0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x v="4"/>
    <n v="1777.76"/>
    <x v="0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x v="0"/>
    <n v="933.99"/>
    <x v="1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x v="4"/>
    <n v="945.64"/>
    <x v="1"/>
  </r>
  <r>
    <s v="ORD200235"/>
    <d v="2023-02-20T00:00:00"/>
    <s v="C32854"/>
    <s v="Desk"/>
    <n v="1"/>
    <n v="65.45"/>
    <s v="815 Main St"/>
    <s v="Cash"/>
    <s v="Pending"/>
    <s v="TRK30009218"/>
    <n v="2"/>
    <s v="WINTER15"/>
    <x v="4"/>
    <n v="65.45"/>
    <x v="0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x v="2"/>
    <n v="318.81"/>
    <x v="0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x v="3"/>
    <n v="1751.16"/>
    <x v="1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x v="4"/>
    <n v="1537.28"/>
    <x v="1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x v="2"/>
    <n v="1616.22"/>
    <x v="1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x v="0"/>
    <n v="17.239999999999998"/>
    <x v="0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x v="2"/>
    <n v="3078.35"/>
    <x v="0"/>
  </r>
  <r>
    <s v="ORD200242"/>
    <d v="2023-05-09T00:00:00"/>
    <s v="C94921"/>
    <s v="Printer"/>
    <n v="2"/>
    <n v="219.1"/>
    <s v="134 Main St"/>
    <s v="Online"/>
    <s v="Pending"/>
    <s v="TRK97794327"/>
    <n v="4"/>
    <s v="SAVE10"/>
    <x v="1"/>
    <n v="438.2"/>
    <x v="0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x v="4"/>
    <n v="289.32"/>
    <x v="2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x v="3"/>
    <n v="635.54"/>
    <x v="0"/>
  </r>
  <r>
    <s v="ORD200245"/>
    <d v="2025-04-20T00:00:00"/>
    <s v="C12667"/>
    <s v="Laptop"/>
    <n v="1"/>
    <n v="223.3"/>
    <s v="306 Main St"/>
    <s v="Online"/>
    <s v="Returned"/>
    <s v="TRK25390491"/>
    <n v="1"/>
    <s v="No Coupon"/>
    <x v="3"/>
    <n v="223.3"/>
    <x v="2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x v="0"/>
    <n v="684.22"/>
    <x v="1"/>
  </r>
  <r>
    <s v="ORD200247"/>
    <d v="2023-07-20T00:00:00"/>
    <s v="C14600"/>
    <s v="Printer"/>
    <n v="2"/>
    <n v="220.9"/>
    <s v="785 Main St"/>
    <s v="Gift Card"/>
    <s v="Shipped"/>
    <s v="TRK84984764"/>
    <n v="4"/>
    <s v="No Coupon"/>
    <x v="2"/>
    <n v="441.8"/>
    <x v="0"/>
  </r>
  <r>
    <s v="ORD200248"/>
    <d v="2023-07-02T00:00:00"/>
    <s v="C97187"/>
    <s v="Laptop"/>
    <n v="1"/>
    <n v="670.54"/>
    <s v="471 Main St"/>
    <s v="Cash"/>
    <s v="Shipped"/>
    <s v="TRK62283713"/>
    <n v="6"/>
    <s v="FREESHIP"/>
    <x v="1"/>
    <n v="670.54"/>
    <x v="0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x v="1"/>
    <n v="546.19000000000005"/>
    <x v="1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x v="2"/>
    <n v="128.85"/>
    <x v="0"/>
  </r>
  <r>
    <s v="ORD200251"/>
    <d v="2025-05-15T00:00:00"/>
    <s v="C93175"/>
    <s v="Monitor"/>
    <n v="4"/>
    <n v="14.69"/>
    <s v="814 Main St"/>
    <s v="Cash"/>
    <s v="Cancelled"/>
    <s v="TRK32995144"/>
    <n v="9"/>
    <s v="No Coupon"/>
    <x v="2"/>
    <n v="58.76"/>
    <x v="2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x v="3"/>
    <n v="2673.44"/>
    <x v="1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x v="0"/>
    <n v="1654.96"/>
    <x v="1"/>
  </r>
  <r>
    <s v="ORD200254"/>
    <d v="2023-12-26T00:00:00"/>
    <s v="C10866"/>
    <s v="Monitor"/>
    <n v="3"/>
    <n v="263.19"/>
    <s v="770 Main St"/>
    <s v="Online"/>
    <s v="Delivered"/>
    <s v="TRK34809583"/>
    <n v="5"/>
    <s v="No Coupon"/>
    <x v="0"/>
    <n v="789.56999999999994"/>
    <x v="0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x v="4"/>
    <n v="263.95999999999998"/>
    <x v="1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x v="0"/>
    <n v="379.05"/>
    <x v="2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x v="1"/>
    <n v="406.22"/>
    <x v="1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x v="1"/>
    <n v="206.82"/>
    <x v="1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x v="0"/>
    <n v="1740.48"/>
    <x v="0"/>
  </r>
  <r>
    <s v="ORD200260"/>
    <d v="2023-05-17T00:00:00"/>
    <s v="C12245"/>
    <s v="Monitor"/>
    <n v="2"/>
    <n v="407.79"/>
    <s v="153 Main St"/>
    <s v="Debit Card"/>
    <s v="Shipped"/>
    <s v="TRK22000463"/>
    <n v="3"/>
    <s v="No Coupon"/>
    <x v="4"/>
    <n v="815.58"/>
    <x v="0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x v="2"/>
    <n v="868.25"/>
    <x v="2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x v="1"/>
    <n v="996.28"/>
    <x v="0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x v="4"/>
    <n v="1739.4"/>
    <x v="0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x v="4"/>
    <n v="436.77"/>
    <x v="1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x v="4"/>
    <n v="572.13"/>
    <x v="0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x v="1"/>
    <n v="2332.2800000000002"/>
    <x v="1"/>
  </r>
  <r>
    <s v="ORD200267"/>
    <d v="2025-04-17T00:00:00"/>
    <s v="C84480"/>
    <s v="Chair"/>
    <n v="5"/>
    <n v="468.51"/>
    <s v="803 Main St"/>
    <s v="Debit Card"/>
    <s v="Delivered"/>
    <s v="TRK62361867"/>
    <n v="9"/>
    <s v="No Coupon"/>
    <x v="3"/>
    <n v="2342.5500000000002"/>
    <x v="2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x v="1"/>
    <n v="847.76"/>
    <x v="0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x v="4"/>
    <n v="2654.68"/>
    <x v="0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x v="4"/>
    <n v="1239.6400000000001"/>
    <x v="0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x v="1"/>
    <n v="542.07000000000005"/>
    <x v="0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x v="0"/>
    <n v="798.64"/>
    <x v="0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x v="2"/>
    <n v="476.5"/>
    <x v="1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x v="1"/>
    <n v="364.8"/>
    <x v="0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x v="4"/>
    <n v="130.13999999999999"/>
    <x v="0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x v="0"/>
    <n v="1201.1400000000001"/>
    <x v="2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x v="3"/>
    <n v="454.6"/>
    <x v="1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x v="0"/>
    <n v="1812.3"/>
    <x v="1"/>
  </r>
  <r>
    <s v="ORD200279"/>
    <d v="2023-10-20T00:00:00"/>
    <s v="C69167"/>
    <s v="Chair"/>
    <n v="3"/>
    <n v="55.01"/>
    <s v="263 Main St"/>
    <s v="Online"/>
    <s v="Pending"/>
    <s v="TRK12425655"/>
    <n v="7"/>
    <s v="WINTER15"/>
    <x v="2"/>
    <n v="165.03"/>
    <x v="0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x v="0"/>
    <n v="1213.8599999999999"/>
    <x v="0"/>
  </r>
  <r>
    <s v="ORD200281"/>
    <d v="2023-07-27T00:00:00"/>
    <s v="C87181"/>
    <s v="Desk"/>
    <n v="4"/>
    <n v="654.79"/>
    <s v="195 Main St"/>
    <s v="Cash"/>
    <s v="Pending"/>
    <s v="TRK60093390"/>
    <n v="9"/>
    <s v="No Coupon"/>
    <x v="1"/>
    <n v="2619.16"/>
    <x v="0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x v="4"/>
    <n v="2551.16"/>
    <x v="2"/>
  </r>
  <r>
    <s v="ORD200283"/>
    <d v="2025-02-28T00:00:00"/>
    <s v="C39638"/>
    <s v="Laptop"/>
    <n v="4"/>
    <n v="540.33000000000004"/>
    <s v="990 Main St"/>
    <s v="Cash"/>
    <s v="Shipped"/>
    <s v="TRK69745608"/>
    <n v="6"/>
    <s v="No Coupon"/>
    <x v="4"/>
    <n v="2161.3200000000002"/>
    <x v="2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x v="3"/>
    <n v="1040.8499999999999"/>
    <x v="0"/>
  </r>
  <r>
    <s v="ORD200285"/>
    <d v="2025-06-10T00:00:00"/>
    <s v="C67583"/>
    <s v="Phone"/>
    <n v="1"/>
    <n v="338.31"/>
    <s v="974 Main St"/>
    <s v="Online"/>
    <s v="Delivered"/>
    <s v="TRK93281700"/>
    <n v="3"/>
    <s v="No Coupon"/>
    <x v="4"/>
    <n v="338.31"/>
    <x v="2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x v="4"/>
    <n v="418.35"/>
    <x v="2"/>
  </r>
  <r>
    <s v="ORD200287"/>
    <d v="2023-11-24T00:00:00"/>
    <s v="C70437"/>
    <s v="Chair"/>
    <n v="4"/>
    <n v="655.17999999999995"/>
    <s v="630 Main St"/>
    <s v="Online"/>
    <s v="Shipped"/>
    <s v="TRK26628830"/>
    <n v="5"/>
    <s v="No Coupon"/>
    <x v="3"/>
    <n v="2620.7199999999998"/>
    <x v="0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x v="4"/>
    <n v="2051"/>
    <x v="0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x v="1"/>
    <n v="641.96"/>
    <x v="0"/>
  </r>
  <r>
    <s v="ORD200290"/>
    <d v="2023-05-05T00:00:00"/>
    <s v="C24901"/>
    <s v="Chair"/>
    <n v="3"/>
    <n v="99.9"/>
    <s v="258 Main St"/>
    <s v="Cash"/>
    <s v="Delivered"/>
    <s v="TRK14029489"/>
    <n v="8"/>
    <s v="FREESHIP"/>
    <x v="3"/>
    <n v="299.7"/>
    <x v="0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x v="4"/>
    <n v="690.02"/>
    <x v="1"/>
  </r>
  <r>
    <s v="ORD200292"/>
    <d v="2025-01-15T00:00:00"/>
    <s v="C39639"/>
    <s v="Monitor"/>
    <n v="1"/>
    <n v="65.95"/>
    <s v="185 Main St"/>
    <s v="Credit Card"/>
    <s v="Delivered"/>
    <s v="TRK31042152"/>
    <n v="5"/>
    <s v="No Coupon"/>
    <x v="3"/>
    <n v="65.95"/>
    <x v="2"/>
  </r>
  <r>
    <s v="ORD200293"/>
    <d v="2023-02-16T00:00:00"/>
    <s v="C33220"/>
    <s v="Tablet"/>
    <n v="4"/>
    <n v="463.04"/>
    <s v="564 Main St"/>
    <s v="Gift Card"/>
    <s v="Returned"/>
    <s v="TRK40450219"/>
    <n v="9"/>
    <s v="No Coupon"/>
    <x v="0"/>
    <n v="1852.16"/>
    <x v="0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x v="1"/>
    <n v="595.41999999999996"/>
    <x v="2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x v="2"/>
    <n v="537.4"/>
    <x v="0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x v="1"/>
    <n v="3194"/>
    <x v="1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x v="0"/>
    <n v="987.76"/>
    <x v="0"/>
  </r>
  <r>
    <s v="ORD200298"/>
    <d v="2023-12-19T00:00:00"/>
    <s v="C19402"/>
    <s v="Printer"/>
    <n v="4"/>
    <n v="301.17"/>
    <s v="267 Main St"/>
    <s v="Online"/>
    <s v="Cancelled"/>
    <s v="TRK97825212"/>
    <n v="6"/>
    <s v="No Coupon"/>
    <x v="2"/>
    <n v="1204.68"/>
    <x v="0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x v="0"/>
    <n v="278.66000000000003"/>
    <x v="1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x v="3"/>
    <n v="287.45999999999998"/>
    <x v="1"/>
  </r>
  <r>
    <s v="ORD200301"/>
    <d v="2023-05-11T00:00:00"/>
    <s v="C31105"/>
    <s v="Chair"/>
    <n v="1"/>
    <n v="583.99"/>
    <s v="726 Main St"/>
    <s v="Cash"/>
    <s v="Cancelled"/>
    <s v="TRK40149095"/>
    <n v="2"/>
    <s v="SAVE10"/>
    <x v="2"/>
    <n v="583.99"/>
    <x v="0"/>
  </r>
  <r>
    <s v="ORD200302"/>
    <d v="2023-05-16T00:00:00"/>
    <s v="C29432"/>
    <s v="Chair"/>
    <n v="3"/>
    <n v="468.74"/>
    <s v="121 Main St"/>
    <s v="Cash"/>
    <s v="Pending"/>
    <s v="TRK44142517"/>
    <n v="4"/>
    <s v="FREESHIP"/>
    <x v="0"/>
    <n v="1406.22"/>
    <x v="0"/>
  </r>
  <r>
    <s v="ORD200303"/>
    <d v="2024-12-07T00:00:00"/>
    <s v="C48531"/>
    <s v="Tablet"/>
    <n v="1"/>
    <n v="30.54"/>
    <s v="368 Main St"/>
    <s v="Debit Card"/>
    <s v="Returned"/>
    <s v="TRK95462192"/>
    <n v="1"/>
    <s v="No Coupon"/>
    <x v="4"/>
    <n v="30.54"/>
    <x v="1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x v="0"/>
    <n v="2043.65"/>
    <x v="1"/>
  </r>
  <r>
    <s v="ORD200305"/>
    <d v="2023-11-25T00:00:00"/>
    <s v="C63822"/>
    <s v="Laptop"/>
    <n v="4"/>
    <n v="126.89"/>
    <s v="235 Main St"/>
    <s v="Cash"/>
    <s v="Pending"/>
    <s v="TRK59353216"/>
    <n v="9"/>
    <s v="FREESHIP"/>
    <x v="0"/>
    <n v="507.56"/>
    <x v="0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x v="0"/>
    <n v="114.14"/>
    <x v="1"/>
  </r>
  <r>
    <s v="ORD200307"/>
    <d v="2023-07-01T00:00:00"/>
    <s v="C92407"/>
    <s v="Laptop"/>
    <n v="3"/>
    <n v="557.41"/>
    <s v="135 Main St"/>
    <s v="Online"/>
    <s v="Delivered"/>
    <s v="TRK11755610"/>
    <n v="4"/>
    <s v="No Coupon"/>
    <x v="2"/>
    <n v="1672.23"/>
    <x v="0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x v="0"/>
    <n v="1346.7"/>
    <x v="0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x v="3"/>
    <n v="2199.04"/>
    <x v="0"/>
  </r>
  <r>
    <s v="ORD200310"/>
    <d v="2024-02-24T00:00:00"/>
    <s v="C85863"/>
    <s v="Printer"/>
    <n v="3"/>
    <n v="132.47999999999999"/>
    <s v="968 Main St"/>
    <s v="Online"/>
    <s v="Shipped"/>
    <s v="TRK16094218"/>
    <n v="4"/>
    <s v="No Coupon"/>
    <x v="1"/>
    <n v="397.43999999999988"/>
    <x v="1"/>
  </r>
  <r>
    <s v="ORD200311"/>
    <d v="2025-05-17T00:00:00"/>
    <s v="C71698"/>
    <s v="Desk"/>
    <n v="5"/>
    <n v="489.37"/>
    <s v="274 Main St"/>
    <s v="Online"/>
    <s v="Returned"/>
    <s v="TRK34786818"/>
    <n v="8"/>
    <s v="No Coupon"/>
    <x v="0"/>
    <n v="2446.85"/>
    <x v="2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x v="1"/>
    <n v="331.55"/>
    <x v="2"/>
  </r>
  <r>
    <s v="ORD200313"/>
    <d v="2023-07-09T00:00:00"/>
    <s v="C67687"/>
    <s v="Chair"/>
    <n v="2"/>
    <n v="434.3"/>
    <s v="978 Main St"/>
    <s v="Cash"/>
    <s v="Delivered"/>
    <s v="TRK22838735"/>
    <n v="7"/>
    <s v="SAVE10"/>
    <x v="0"/>
    <n v="868.6"/>
    <x v="0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x v="1"/>
    <n v="612.36"/>
    <x v="0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x v="2"/>
    <n v="458.35"/>
    <x v="2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x v="3"/>
    <n v="1101.1199999999999"/>
    <x v="0"/>
  </r>
  <r>
    <s v="ORD200317"/>
    <d v="2023-04-10T00:00:00"/>
    <s v="C88370"/>
    <s v="Monitor"/>
    <n v="2"/>
    <n v="139.94999999999999"/>
    <s v="339 Main St"/>
    <s v="Online"/>
    <s v="Returned"/>
    <s v="TRK22575151"/>
    <n v="5"/>
    <s v="No Coupon"/>
    <x v="0"/>
    <n v="279.89999999999998"/>
    <x v="0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x v="4"/>
    <n v="446.16"/>
    <x v="1"/>
  </r>
  <r>
    <s v="ORD200319"/>
    <d v="2023-12-02T00:00:00"/>
    <s v="C53049"/>
    <s v="Laptop"/>
    <n v="2"/>
    <n v="563.05999999999995"/>
    <s v="413 Main St"/>
    <s v="Cash"/>
    <s v="Returned"/>
    <s v="TRK48974907"/>
    <n v="6"/>
    <s v="No Coupon"/>
    <x v="0"/>
    <n v="1126.1199999999999"/>
    <x v="0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x v="3"/>
    <n v="625.51"/>
    <x v="1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x v="4"/>
    <n v="609.16"/>
    <x v="0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x v="3"/>
    <n v="1159.0999999999999"/>
    <x v="1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x v="1"/>
    <n v="150.16999999999999"/>
    <x v="2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o Coupon"/>
    <x v="1"/>
    <n v="212.79"/>
    <x v="1"/>
  </r>
  <r>
    <s v="ORD200325"/>
    <d v="2023-06-29T00:00:00"/>
    <s v="C53545"/>
    <s v="Desk"/>
    <n v="3"/>
    <n v="361.39"/>
    <s v="665 Main St"/>
    <s v="Credit Card"/>
    <s v="Shipped"/>
    <s v="TRK61123177"/>
    <n v="8"/>
    <s v="No Coupon"/>
    <x v="1"/>
    <n v="1084.17"/>
    <x v="0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x v="3"/>
    <n v="3352.4"/>
    <x v="1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x v="2"/>
    <n v="359.99"/>
    <x v="0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x v="4"/>
    <n v="3370.2"/>
    <x v="0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o Coupon"/>
    <x v="4"/>
    <n v="1132.6400000000001"/>
    <x v="1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x v="0"/>
    <n v="1302.6500000000001"/>
    <x v="1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x v="3"/>
    <n v="1266.3900000000001"/>
    <x v="0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x v="4"/>
    <n v="625.1"/>
    <x v="1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x v="0"/>
    <n v="198.51"/>
    <x v="1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x v="3"/>
    <n v="899"/>
    <x v="1"/>
  </r>
  <r>
    <s v="ORD200335"/>
    <d v="2025-03-03T00:00:00"/>
    <s v="C58721"/>
    <s v="Tablet"/>
    <n v="3"/>
    <n v="205.86"/>
    <s v="978 Main St"/>
    <s v="Gift Card"/>
    <s v="Shipped"/>
    <s v="TRK34801199"/>
    <n v="4"/>
    <s v="No Coupon"/>
    <x v="2"/>
    <n v="617.58000000000004"/>
    <x v="2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x v="0"/>
    <n v="18.2"/>
    <x v="0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x v="2"/>
    <n v="1508.31"/>
    <x v="0"/>
  </r>
  <r>
    <s v="ORD200338"/>
    <d v="2023-11-08T00:00:00"/>
    <s v="C53627"/>
    <s v="Phone"/>
    <n v="5"/>
    <n v="305.49"/>
    <s v="704 Main St"/>
    <s v="Debit Card"/>
    <s v="Shipped"/>
    <s v="TRK64112352"/>
    <n v="10"/>
    <s v="No Coupon"/>
    <x v="1"/>
    <n v="1527.45"/>
    <x v="0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x v="0"/>
    <n v="472.66"/>
    <x v="1"/>
  </r>
  <r>
    <s v="ORD200340"/>
    <d v="2023-04-23T00:00:00"/>
    <s v="C76207"/>
    <s v="Laptop"/>
    <n v="5"/>
    <n v="521.25"/>
    <s v="826 Main St"/>
    <s v="Cash"/>
    <s v="Cancelled"/>
    <s v="TRK25569378"/>
    <n v="8"/>
    <s v="No Coupon"/>
    <x v="2"/>
    <n v="2606.25"/>
    <x v="0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x v="2"/>
    <n v="167.15"/>
    <x v="1"/>
  </r>
  <r>
    <s v="ORD200342"/>
    <d v="2025-06-24T00:00:00"/>
    <s v="C69994"/>
    <s v="Monitor"/>
    <n v="5"/>
    <n v="466.42"/>
    <s v="619 Main St"/>
    <s v="Gift Card"/>
    <s v="Returned"/>
    <s v="TRK95935805"/>
    <n v="5"/>
    <s v="No Coupon"/>
    <x v="1"/>
    <n v="2332.1"/>
    <x v="2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x v="3"/>
    <n v="527.57000000000005"/>
    <x v="0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x v="0"/>
    <n v="1870.02"/>
    <x v="2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x v="1"/>
    <n v="2506.3000000000002"/>
    <x v="0"/>
  </r>
  <r>
    <s v="ORD200346"/>
    <d v="2024-12-06T00:00:00"/>
    <s v="C31764"/>
    <s v="Tablet"/>
    <n v="1"/>
    <n v="655.09"/>
    <s v="876 Main St"/>
    <s v="Cash"/>
    <s v="Pending"/>
    <s v="TRK44680433"/>
    <n v="6"/>
    <s v="No Coupon"/>
    <x v="1"/>
    <n v="655.09"/>
    <x v="1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x v="4"/>
    <n v="1059.1600000000001"/>
    <x v="1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x v="2"/>
    <n v="1079.19"/>
    <x v="1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x v="4"/>
    <n v="465.33"/>
    <x v="0"/>
  </r>
  <r>
    <s v="ORD200350"/>
    <d v="2023-06-03T00:00:00"/>
    <s v="C13296"/>
    <s v="Chair"/>
    <n v="2"/>
    <n v="54.41"/>
    <s v="495 Main St"/>
    <s v="Online"/>
    <s v="Shipped"/>
    <s v="TRK60127216"/>
    <n v="6"/>
    <s v="No Coupon"/>
    <x v="0"/>
    <n v="108.82"/>
    <x v="0"/>
  </r>
  <r>
    <s v="ORD200351"/>
    <d v="2025-02-15T00:00:00"/>
    <s v="C94248"/>
    <s v="Laptop"/>
    <n v="1"/>
    <n v="64.66"/>
    <s v="494 Main St"/>
    <s v="Debit Card"/>
    <s v="Delivered"/>
    <s v="TRK89406816"/>
    <n v="4"/>
    <s v="No Coupon"/>
    <x v="0"/>
    <n v="64.66"/>
    <x v="2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x v="0"/>
    <n v="869.80000000000007"/>
    <x v="0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x v="4"/>
    <n v="630.82000000000005"/>
    <x v="2"/>
  </r>
  <r>
    <s v="ORD200354"/>
    <d v="2023-07-11T00:00:00"/>
    <s v="C31772"/>
    <s v="Phone"/>
    <n v="1"/>
    <n v="693.41"/>
    <s v="992 Main St"/>
    <s v="Debit Card"/>
    <s v="Shipped"/>
    <s v="TRK11970357"/>
    <n v="4"/>
    <s v="No Coupon"/>
    <x v="0"/>
    <n v="693.41"/>
    <x v="0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x v="1"/>
    <n v="1299.99"/>
    <x v="2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x v="0"/>
    <n v="1872.9"/>
    <x v="0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x v="0"/>
    <n v="2042.8"/>
    <x v="0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x v="4"/>
    <n v="367.34"/>
    <x v="1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x v="1"/>
    <n v="2426.2800000000002"/>
    <x v="0"/>
  </r>
  <r>
    <s v="ORD200360"/>
    <d v="2024-06-06T00:00:00"/>
    <s v="C53810"/>
    <s v="Phone"/>
    <n v="4"/>
    <n v="589.57000000000005"/>
    <s v="779 Main St"/>
    <s v="Cash"/>
    <s v="Pending"/>
    <s v="TRK34630612"/>
    <n v="8"/>
    <s v="No Coupon"/>
    <x v="0"/>
    <n v="2358.2800000000002"/>
    <x v="1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x v="3"/>
    <n v="3299.25"/>
    <x v="1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x v="0"/>
    <n v="827.36"/>
    <x v="0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x v="2"/>
    <n v="569.35"/>
    <x v="1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x v="3"/>
    <n v="3143.7"/>
    <x v="0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x v="1"/>
    <n v="678.38"/>
    <x v="2"/>
  </r>
  <r>
    <s v="ORD200366"/>
    <d v="2023-02-10T00:00:00"/>
    <s v="C95213"/>
    <s v="Printer"/>
    <n v="3"/>
    <n v="602.24"/>
    <s v="603 Main St"/>
    <s v="Debit Card"/>
    <s v="Pending"/>
    <s v="TRK40630538"/>
    <n v="8"/>
    <s v="No Coupon"/>
    <x v="1"/>
    <n v="1806.72"/>
    <x v="0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x v="0"/>
    <n v="3293.85"/>
    <x v="1"/>
  </r>
  <r>
    <s v="ORD200368"/>
    <d v="2023-05-01T00:00:00"/>
    <s v="C85322"/>
    <s v="Monitor"/>
    <n v="3"/>
    <n v="271.02"/>
    <s v="403 Main St"/>
    <s v="Credit Card"/>
    <s v="Cancelled"/>
    <s v="TRK89728869"/>
    <n v="6"/>
    <s v="No Coupon"/>
    <x v="4"/>
    <n v="813.06"/>
    <x v="0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x v="2"/>
    <n v="1876.25"/>
    <x v="1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x v="3"/>
    <n v="312.11"/>
    <x v="2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x v="4"/>
    <n v="1538.8"/>
    <x v="0"/>
  </r>
  <r>
    <s v="ORD200372"/>
    <d v="2025-02-14T00:00:00"/>
    <s v="C53645"/>
    <s v="Chair"/>
    <n v="3"/>
    <n v="483.53"/>
    <s v="166 Main St"/>
    <s v="Cash"/>
    <s v="Returned"/>
    <s v="TRK12123939"/>
    <n v="4"/>
    <s v="No Coupon"/>
    <x v="1"/>
    <n v="1450.59"/>
    <x v="2"/>
  </r>
  <r>
    <s v="ORD200373"/>
    <d v="2023-01-02T00:00:00"/>
    <s v="C60178"/>
    <s v="Laptop"/>
    <n v="3"/>
    <n v="341.15"/>
    <s v="969 Main St"/>
    <s v="Cash"/>
    <s v="Pending"/>
    <s v="TRK84505143"/>
    <n v="4"/>
    <s v="FREESHIP"/>
    <x v="0"/>
    <n v="1023.45"/>
    <x v="0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x v="0"/>
    <n v="571.9"/>
    <x v="1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x v="3"/>
    <n v="380.12"/>
    <x v="2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x v="3"/>
    <n v="1006.1"/>
    <x v="0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x v="0"/>
    <n v="260.26"/>
    <x v="1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x v="0"/>
    <n v="322.5"/>
    <x v="1"/>
  </r>
  <r>
    <s v="ORD200379"/>
    <d v="2024-09-21T00:00:00"/>
    <s v="C47284"/>
    <s v="Phone"/>
    <n v="3"/>
    <n v="297.67"/>
    <s v="500 Main St"/>
    <s v="Online"/>
    <s v="Shipped"/>
    <s v="TRK85756094"/>
    <n v="6"/>
    <s v="No Coupon"/>
    <x v="4"/>
    <n v="893.01"/>
    <x v="1"/>
  </r>
  <r>
    <s v="ORD200380"/>
    <d v="2024-04-20T00:00:00"/>
    <s v="C35355"/>
    <s v="Printer"/>
    <n v="4"/>
    <n v="331.9"/>
    <s v="127 Main St"/>
    <s v="Cash"/>
    <s v="Pending"/>
    <s v="TRK52935059"/>
    <n v="5"/>
    <s v="SAVE10"/>
    <x v="0"/>
    <n v="1327.6"/>
    <x v="1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x v="0"/>
    <n v="191.76"/>
    <x v="0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x v="4"/>
    <n v="1052.3599999999999"/>
    <x v="2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x v="2"/>
    <n v="1575.2"/>
    <x v="0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x v="3"/>
    <n v="1660.71"/>
    <x v="1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x v="3"/>
    <n v="958.15"/>
    <x v="0"/>
  </r>
  <r>
    <s v="ORD200386"/>
    <d v="2023-04-28T00:00:00"/>
    <s v="C12421"/>
    <s v="Tablet"/>
    <n v="1"/>
    <n v="93.02"/>
    <s v="373 Main St"/>
    <s v="Online"/>
    <s v="Returned"/>
    <s v="TRK32588504"/>
    <n v="4"/>
    <s v="No Coupon"/>
    <x v="2"/>
    <n v="93.02"/>
    <x v="0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x v="4"/>
    <n v="79.06"/>
    <x v="1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x v="3"/>
    <n v="1901.91"/>
    <x v="0"/>
  </r>
  <r>
    <s v="ORD200389"/>
    <d v="2023-12-17T00:00:00"/>
    <s v="C29703"/>
    <s v="Desk"/>
    <n v="4"/>
    <n v="697.5"/>
    <s v="558 Main St"/>
    <s v="Cash"/>
    <s v="Shipped"/>
    <s v="TRK40543461"/>
    <n v="7"/>
    <s v="FREESHIP"/>
    <x v="1"/>
    <n v="2790"/>
    <x v="0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x v="4"/>
    <n v="2543.4499999999998"/>
    <x v="0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x v="1"/>
    <n v="1054.92"/>
    <x v="2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x v="2"/>
    <n v="627.20000000000005"/>
    <x v="1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o Coupon"/>
    <x v="4"/>
    <n v="75.010000000000005"/>
    <x v="1"/>
  </r>
  <r>
    <s v="ORD200394"/>
    <d v="2023-07-05T00:00:00"/>
    <s v="C70148"/>
    <s v="Desk"/>
    <n v="5"/>
    <n v="529.54999999999995"/>
    <s v="359 Main St"/>
    <s v="Gift Card"/>
    <s v="Shipped"/>
    <s v="TRK34848650"/>
    <n v="10"/>
    <s v="No Coupon"/>
    <x v="3"/>
    <n v="2647.75"/>
    <x v="0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x v="1"/>
    <n v="382.23"/>
    <x v="2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x v="2"/>
    <n v="1435.65"/>
    <x v="0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x v="1"/>
    <n v="427.06"/>
    <x v="0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x v="0"/>
    <n v="269.64999999999998"/>
    <x v="1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x v="3"/>
    <n v="2119.65"/>
    <x v="1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x v="0"/>
    <n v="640.88"/>
    <x v="1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o Coupon"/>
    <x v="1"/>
    <n v="538.67999999999995"/>
    <x v="2"/>
  </r>
  <r>
    <s v="ORD200402"/>
    <d v="2023-04-09T00:00:00"/>
    <s v="C83026"/>
    <s v="Printer"/>
    <n v="5"/>
    <n v="337.38"/>
    <s v="858 Main St"/>
    <s v="Gift Card"/>
    <s v="Shipped"/>
    <s v="TRK79746259"/>
    <n v="5"/>
    <s v="No Coupon"/>
    <x v="1"/>
    <n v="1686.9"/>
    <x v="0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x v="1"/>
    <n v="620.21"/>
    <x v="1"/>
  </r>
  <r>
    <s v="ORD200404"/>
    <d v="2023-03-09T00:00:00"/>
    <s v="C45482"/>
    <s v="Monitor"/>
    <n v="2"/>
    <n v="99.1"/>
    <s v="440 Main St"/>
    <s v="Cash"/>
    <s v="Delivered"/>
    <s v="TRK54571699"/>
    <n v="6"/>
    <s v="No Coupon"/>
    <x v="0"/>
    <n v="198.2"/>
    <x v="0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x v="2"/>
    <n v="1807.88"/>
    <x v="2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x v="4"/>
    <n v="264.39999999999998"/>
    <x v="0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x v="0"/>
    <n v="2189.2800000000002"/>
    <x v="0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x v="4"/>
    <n v="1237.5899999999999"/>
    <x v="2"/>
  </r>
  <r>
    <s v="ORD200409"/>
    <d v="2023-06-28T00:00:00"/>
    <s v="C45187"/>
    <s v="Desk"/>
    <n v="5"/>
    <n v="84.13"/>
    <s v="767 Main St"/>
    <s v="Online"/>
    <s v="Delivered"/>
    <s v="TRK12320793"/>
    <n v="9"/>
    <s v="SAVE10"/>
    <x v="4"/>
    <n v="420.65"/>
    <x v="0"/>
  </r>
  <r>
    <s v="ORD200410"/>
    <d v="2024-01-18T00:00:00"/>
    <s v="C37375"/>
    <s v="Tablet"/>
    <n v="2"/>
    <n v="518.23"/>
    <s v="184 Main St"/>
    <s v="Debit Card"/>
    <s v="Shipped"/>
    <s v="TRK52470162"/>
    <n v="5"/>
    <s v="No Coupon"/>
    <x v="2"/>
    <n v="1036.46"/>
    <x v="1"/>
  </r>
  <r>
    <s v="ORD200411"/>
    <d v="2024-06-19T00:00:00"/>
    <s v="C66567"/>
    <s v="Desk"/>
    <n v="2"/>
    <n v="39.51"/>
    <s v="981 Main St"/>
    <s v="Online"/>
    <s v="Shipped"/>
    <s v="TRK21174822"/>
    <n v="5"/>
    <s v="No Coupon"/>
    <x v="3"/>
    <n v="79.02"/>
    <x v="1"/>
  </r>
  <r>
    <s v="ORD200412"/>
    <d v="2025-04-11T00:00:00"/>
    <s v="C42451"/>
    <s v="Tablet"/>
    <n v="5"/>
    <n v="133.01"/>
    <s v="246 Main St"/>
    <s v="Credit Card"/>
    <s v="Returned"/>
    <s v="TRK31313343"/>
    <n v="10"/>
    <s v="No Coupon"/>
    <x v="3"/>
    <n v="665.05"/>
    <x v="2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x v="2"/>
    <n v="118.8"/>
    <x v="0"/>
  </r>
  <r>
    <s v="ORD200414"/>
    <d v="2025-05-04T00:00:00"/>
    <s v="C11829"/>
    <s v="Desk"/>
    <n v="2"/>
    <n v="139.57"/>
    <s v="797 Main St"/>
    <s v="Cash"/>
    <s v="Delivered"/>
    <s v="TRK84229257"/>
    <n v="4"/>
    <s v="WINTER15"/>
    <x v="3"/>
    <n v="279.14"/>
    <x v="2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x v="3"/>
    <n v="184.15"/>
    <x v="2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x v="1"/>
    <n v="1288.0999999999999"/>
    <x v="0"/>
  </r>
  <r>
    <s v="ORD200417"/>
    <d v="2023-10-24T00:00:00"/>
    <s v="C44492"/>
    <s v="Laptop"/>
    <n v="5"/>
    <n v="55.41"/>
    <s v="954 Main St"/>
    <s v="Online"/>
    <s v="Cancelled"/>
    <s v="TRK51429869"/>
    <n v="5"/>
    <s v="No Coupon"/>
    <x v="4"/>
    <n v="277.05"/>
    <x v="0"/>
  </r>
  <r>
    <s v="ORD200418"/>
    <d v="2023-01-11T00:00:00"/>
    <s v="C74169"/>
    <s v="Printer"/>
    <n v="1"/>
    <n v="310.93"/>
    <s v="862 Main St"/>
    <s v="Online"/>
    <s v="Cancelled"/>
    <s v="TRK66144809"/>
    <n v="3"/>
    <s v="No Coupon"/>
    <x v="3"/>
    <n v="310.93"/>
    <x v="0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x v="0"/>
    <n v="433.32"/>
    <x v="1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x v="0"/>
    <n v="452.7"/>
    <x v="1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o Coupon"/>
    <x v="2"/>
    <n v="576.41999999999996"/>
    <x v="0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x v="1"/>
    <n v="826.4"/>
    <x v="0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x v="4"/>
    <n v="2740.8"/>
    <x v="1"/>
  </r>
  <r>
    <s v="ORD200424"/>
    <d v="2023-04-12T00:00:00"/>
    <s v="C49491"/>
    <s v="Chair"/>
    <n v="5"/>
    <n v="22.94"/>
    <s v="339 Main St"/>
    <s v="Cash"/>
    <s v="Pending"/>
    <s v="TRK64012257"/>
    <n v="10"/>
    <s v="No Coupon"/>
    <x v="2"/>
    <n v="114.7"/>
    <x v="0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x v="2"/>
    <n v="603.76"/>
    <x v="0"/>
  </r>
  <r>
    <s v="ORD200426"/>
    <d v="2025-03-16T00:00:00"/>
    <s v="C40967"/>
    <s v="Monitor"/>
    <n v="5"/>
    <n v="57.45"/>
    <s v="315 Main St"/>
    <s v="Cash"/>
    <s v="Cancelled"/>
    <s v="TRK24839296"/>
    <n v="10"/>
    <s v="No Coupon"/>
    <x v="3"/>
    <n v="287.25"/>
    <x v="2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x v="0"/>
    <n v="161.24"/>
    <x v="1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x v="2"/>
    <n v="1050.32"/>
    <x v="1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x v="3"/>
    <n v="2060.7600000000002"/>
    <x v="1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x v="4"/>
    <n v="450.07"/>
    <x v="0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x v="3"/>
    <n v="52.54"/>
    <x v="1"/>
  </r>
  <r>
    <s v="ORD200432"/>
    <d v="2023-09-04T00:00:00"/>
    <s v="C58443"/>
    <s v="Tablet"/>
    <n v="2"/>
    <n v="424.32"/>
    <s v="662 Main St"/>
    <s v="Credit Card"/>
    <s v="Returned"/>
    <s v="TRK77163738"/>
    <n v="6"/>
    <s v="No Coupon"/>
    <x v="1"/>
    <n v="848.64"/>
    <x v="0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x v="3"/>
    <n v="1894.92"/>
    <x v="0"/>
  </r>
  <r>
    <s v="ORD200434"/>
    <d v="2023-10-22T00:00:00"/>
    <s v="C73893"/>
    <s v="Printer"/>
    <n v="5"/>
    <n v="327.68"/>
    <s v="384 Main St"/>
    <s v="Credit Card"/>
    <s v="Returned"/>
    <s v="TRK85939879"/>
    <n v="6"/>
    <s v="No Coupon"/>
    <x v="3"/>
    <n v="1638.4"/>
    <x v="0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x v="0"/>
    <n v="414.47"/>
    <x v="0"/>
  </r>
  <r>
    <s v="ORD200436"/>
    <d v="2023-02-11T00:00:00"/>
    <s v="C14568"/>
    <s v="Laptop"/>
    <n v="4"/>
    <n v="221.33"/>
    <s v="651 Main St"/>
    <s v="Online"/>
    <s v="Pending"/>
    <s v="TRK73545796"/>
    <n v="5"/>
    <s v="No Coupon"/>
    <x v="4"/>
    <n v="885.32"/>
    <x v="0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x v="0"/>
    <n v="512.39"/>
    <x v="1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x v="0"/>
    <n v="1378.02"/>
    <x v="2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x v="3"/>
    <n v="146.32"/>
    <x v="1"/>
  </r>
  <r>
    <s v="ORD200440"/>
    <d v="2024-11-05T00:00:00"/>
    <s v="C60215"/>
    <s v="Desk"/>
    <n v="4"/>
    <n v="83.6"/>
    <s v="978 Main St"/>
    <s v="Debit Card"/>
    <s v="Pending"/>
    <s v="TRK31727767"/>
    <n v="4"/>
    <s v="SAVE10"/>
    <x v="3"/>
    <n v="334.4"/>
    <x v="1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x v="2"/>
    <n v="657.08"/>
    <x v="0"/>
  </r>
  <r>
    <s v="ORD200442"/>
    <d v="2024-05-06T00:00:00"/>
    <s v="C72588"/>
    <s v="Chair"/>
    <n v="5"/>
    <n v="314.94"/>
    <s v="661 Main St"/>
    <s v="Cash"/>
    <s v="Pending"/>
    <s v="TRK43410829"/>
    <n v="8"/>
    <s v="SAVE10"/>
    <x v="0"/>
    <n v="1574.7"/>
    <x v="1"/>
  </r>
  <r>
    <s v="ORD200443"/>
    <d v="2024-05-14T00:00:00"/>
    <s v="C61668"/>
    <s v="Chair"/>
    <n v="2"/>
    <n v="69.64"/>
    <s v="813 Main St"/>
    <s v="Cash"/>
    <s v="Returned"/>
    <s v="TRK58970302"/>
    <n v="6"/>
    <s v="No Coupon"/>
    <x v="3"/>
    <n v="139.28"/>
    <x v="1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x v="0"/>
    <n v="135.16999999999999"/>
    <x v="1"/>
  </r>
  <r>
    <s v="ORD200445"/>
    <d v="2024-03-23T00:00:00"/>
    <s v="C94569"/>
    <s v="Phone"/>
    <n v="1"/>
    <n v="487.21"/>
    <s v="227 Main St"/>
    <s v="Cash"/>
    <s v="Delivered"/>
    <s v="TRK31351770"/>
    <n v="3"/>
    <s v="SAVE10"/>
    <x v="1"/>
    <n v="487.21"/>
    <x v="1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x v="0"/>
    <n v="2547.9"/>
    <x v="0"/>
  </r>
  <r>
    <s v="ORD200447"/>
    <d v="2024-04-07T00:00:00"/>
    <s v="C48207"/>
    <s v="Printer"/>
    <n v="2"/>
    <n v="416.81"/>
    <s v="356 Main St"/>
    <s v="Cash"/>
    <s v="Returned"/>
    <s v="TRK45355655"/>
    <n v="2"/>
    <s v="No Coupon"/>
    <x v="3"/>
    <n v="833.62"/>
    <x v="1"/>
  </r>
  <r>
    <s v="ORD200448"/>
    <d v="2023-09-04T00:00:00"/>
    <s v="C16776"/>
    <s v="Laptop"/>
    <n v="2"/>
    <n v="160"/>
    <s v="854 Main St"/>
    <s v="Cash"/>
    <s v="Pending"/>
    <s v="TRK12860600"/>
    <n v="4"/>
    <s v="SAVE10"/>
    <x v="0"/>
    <n v="320"/>
    <x v="0"/>
  </r>
  <r>
    <s v="ORD200449"/>
    <d v="2024-08-26T00:00:00"/>
    <s v="C91518"/>
    <s v="Tablet"/>
    <n v="3"/>
    <n v="253.05"/>
    <s v="286 Main St"/>
    <s v="Online"/>
    <s v="Pending"/>
    <s v="TRK48688724"/>
    <n v="3"/>
    <s v="No Coupon"/>
    <x v="0"/>
    <n v="759.15000000000009"/>
    <x v="1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x v="0"/>
    <n v="3075.5"/>
    <x v="1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x v="2"/>
    <n v="183.18"/>
    <x v="0"/>
  </r>
  <r>
    <s v="ORD200452"/>
    <d v="2023-07-23T00:00:00"/>
    <s v="C36467"/>
    <s v="Printer"/>
    <n v="1"/>
    <n v="75.78"/>
    <s v="581 Main St"/>
    <s v="Cash"/>
    <s v="Pending"/>
    <s v="TRK20863987"/>
    <n v="5"/>
    <s v="SAVE10"/>
    <x v="4"/>
    <n v="75.78"/>
    <x v="0"/>
  </r>
  <r>
    <s v="ORD200453"/>
    <d v="2025-05-02T00:00:00"/>
    <s v="C15017"/>
    <s v="Tablet"/>
    <n v="1"/>
    <n v="675.57"/>
    <s v="492 Main St"/>
    <s v="Cash"/>
    <s v="Shipped"/>
    <s v="TRK51241924"/>
    <n v="1"/>
    <s v="WINTER15"/>
    <x v="3"/>
    <n v="675.57"/>
    <x v="2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x v="4"/>
    <n v="109.29"/>
    <x v="1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x v="1"/>
    <n v="639.83000000000004"/>
    <x v="1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x v="3"/>
    <n v="314.05"/>
    <x v="0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x v="0"/>
    <n v="2463.3200000000002"/>
    <x v="2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x v="2"/>
    <n v="2042.32"/>
    <x v="1"/>
  </r>
  <r>
    <s v="ORD200459"/>
    <d v="2024-07-24T00:00:00"/>
    <s v="C90142"/>
    <s v="Desk"/>
    <n v="1"/>
    <n v="334.39"/>
    <s v="433 Main St"/>
    <s v="Credit Card"/>
    <s v="Returned"/>
    <s v="TRK39717191"/>
    <n v="2"/>
    <s v="No Coupon"/>
    <x v="0"/>
    <n v="334.39"/>
    <x v="1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x v="1"/>
    <n v="144.25"/>
    <x v="1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x v="4"/>
    <n v="401.82"/>
    <x v="1"/>
  </r>
  <r>
    <s v="ORD200462"/>
    <d v="2025-03-31T00:00:00"/>
    <s v="C22991"/>
    <s v="Phone"/>
    <n v="1"/>
    <n v="252.68"/>
    <s v="731 Main St"/>
    <s v="Online"/>
    <s v="Cancelled"/>
    <s v="TRK32796086"/>
    <n v="1"/>
    <s v="No Coupon"/>
    <x v="1"/>
    <n v="252.68"/>
    <x v="2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x v="0"/>
    <n v="3313.9"/>
    <x v="0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x v="4"/>
    <n v="1737.68"/>
    <x v="0"/>
  </r>
  <r>
    <s v="ORD200465"/>
    <d v="2024-02-26T00:00:00"/>
    <s v="C58773"/>
    <s v="Printer"/>
    <n v="5"/>
    <n v="513.49"/>
    <s v="391 Main St"/>
    <s v="Gift Card"/>
    <s v="Cancelled"/>
    <s v="TRK65438300"/>
    <n v="8"/>
    <s v="No Coupon"/>
    <x v="4"/>
    <n v="2567.4499999999998"/>
    <x v="1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x v="1"/>
    <n v="432.47"/>
    <x v="0"/>
  </r>
  <r>
    <s v="ORD200467"/>
    <d v="2024-08-30T00:00:00"/>
    <s v="C36492"/>
    <s v="Desk"/>
    <n v="1"/>
    <n v="45.94"/>
    <s v="572 Main St"/>
    <s v="Cash"/>
    <s v="Cancelled"/>
    <s v="TRK44350440"/>
    <n v="2"/>
    <s v="WINTER15"/>
    <x v="2"/>
    <n v="45.94"/>
    <x v="1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x v="2"/>
    <n v="418.36"/>
    <x v="2"/>
  </r>
  <r>
    <s v="ORD200469"/>
    <d v="2023-11-26T00:00:00"/>
    <s v="C13877"/>
    <s v="Chair"/>
    <n v="5"/>
    <n v="676.98"/>
    <s v="893 Main St"/>
    <s v="Cash"/>
    <s v="Cancelled"/>
    <s v="TRK17254691"/>
    <n v="5"/>
    <s v="No Coupon"/>
    <x v="3"/>
    <n v="3384.9"/>
    <x v="0"/>
  </r>
  <r>
    <s v="ORD200470"/>
    <d v="2023-09-29T00:00:00"/>
    <s v="C25149"/>
    <s v="Tablet"/>
    <n v="4"/>
    <n v="263.62"/>
    <s v="672 Main St"/>
    <s v="Cash"/>
    <s v="Shipped"/>
    <s v="TRK33538608"/>
    <n v="5"/>
    <s v="SAVE10"/>
    <x v="2"/>
    <n v="1054.48"/>
    <x v="0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x v="1"/>
    <n v="2756.35"/>
    <x v="2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x v="1"/>
    <n v="1524.36"/>
    <x v="0"/>
  </r>
  <r>
    <s v="ORD200473"/>
    <d v="2025-02-25T00:00:00"/>
    <s v="C28552"/>
    <s v="Chair"/>
    <n v="2"/>
    <n v="14.93"/>
    <s v="449 Main St"/>
    <s v="Online"/>
    <s v="Shipped"/>
    <s v="TRK71597160"/>
    <n v="4"/>
    <s v="No Coupon"/>
    <x v="3"/>
    <n v="29.86"/>
    <x v="2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x v="1"/>
    <n v="688.02"/>
    <x v="0"/>
  </r>
  <r>
    <s v="ORD200475"/>
    <d v="2025-04-19T00:00:00"/>
    <s v="C29844"/>
    <s v="Tablet"/>
    <n v="2"/>
    <n v="438.62"/>
    <s v="363 Main St"/>
    <s v="Cash"/>
    <s v="Cancelled"/>
    <s v="TRK91642337"/>
    <n v="3"/>
    <s v="SAVE10"/>
    <x v="3"/>
    <n v="877.24"/>
    <x v="2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x v="1"/>
    <n v="1027.18"/>
    <x v="1"/>
  </r>
  <r>
    <s v="ORD200477"/>
    <d v="2025-03-05T00:00:00"/>
    <s v="C56564"/>
    <s v="Phone"/>
    <n v="2"/>
    <n v="253.74"/>
    <s v="481 Main St"/>
    <s v="Online"/>
    <s v="Shipped"/>
    <s v="TRK13166044"/>
    <n v="5"/>
    <s v="SAVE10"/>
    <x v="4"/>
    <n v="507.48"/>
    <x v="2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x v="1"/>
    <n v="188.31"/>
    <x v="1"/>
  </r>
  <r>
    <s v="ORD200479"/>
    <d v="2023-02-18T00:00:00"/>
    <s v="C87011"/>
    <s v="Monitor"/>
    <n v="4"/>
    <n v="25.29"/>
    <s v="943 Main St"/>
    <s v="Credit Card"/>
    <s v="Pending"/>
    <s v="TRK21429162"/>
    <n v="8"/>
    <s v="No Coupon"/>
    <x v="4"/>
    <n v="101.16"/>
    <x v="0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x v="1"/>
    <n v="335.1"/>
    <x v="0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x v="1"/>
    <n v="1939.4"/>
    <x v="0"/>
  </r>
  <r>
    <s v="ORD200482"/>
    <d v="2025-03-02T00:00:00"/>
    <s v="C35852"/>
    <s v="Monitor"/>
    <n v="3"/>
    <n v="381.41"/>
    <s v="989 Main St"/>
    <s v="Online"/>
    <s v="Pending"/>
    <s v="TRK22302049"/>
    <n v="6"/>
    <s v="No Coupon"/>
    <x v="0"/>
    <n v="1144.23"/>
    <x v="2"/>
  </r>
  <r>
    <s v="ORD200483"/>
    <d v="2023-01-18T00:00:00"/>
    <s v="C66462"/>
    <s v="Phone"/>
    <n v="5"/>
    <n v="347.92"/>
    <s v="982 Main St"/>
    <s v="Cash"/>
    <s v="Pending"/>
    <s v="TRK52743700"/>
    <n v="6"/>
    <s v="WINTER15"/>
    <x v="4"/>
    <n v="1739.6"/>
    <x v="0"/>
  </r>
  <r>
    <s v="ORD200484"/>
    <d v="2024-05-29T00:00:00"/>
    <s v="C29092"/>
    <s v="Chair"/>
    <n v="4"/>
    <n v="15.01"/>
    <s v="767 Main St"/>
    <s v="Cash"/>
    <s v="Cancelled"/>
    <s v="TRK90455340"/>
    <n v="6"/>
    <s v="No Coupon"/>
    <x v="3"/>
    <n v="60.04"/>
    <x v="1"/>
  </r>
  <r>
    <s v="ORD200485"/>
    <d v="2023-08-01T00:00:00"/>
    <s v="C46651"/>
    <s v="Chair"/>
    <n v="3"/>
    <n v="404.79"/>
    <s v="764 Main St"/>
    <s v="Cash"/>
    <s v="Shipped"/>
    <s v="TRK67679195"/>
    <n v="6"/>
    <s v="SAVE10"/>
    <x v="0"/>
    <n v="1214.3699999999999"/>
    <x v="0"/>
  </r>
  <r>
    <s v="ORD200486"/>
    <d v="2023-02-03T00:00:00"/>
    <s v="C88981"/>
    <s v="Printer"/>
    <n v="4"/>
    <n v="611.26"/>
    <s v="558 Main St"/>
    <s v="Cash"/>
    <s v="Shipped"/>
    <s v="TRK75267873"/>
    <n v="5"/>
    <s v="SAVE10"/>
    <x v="1"/>
    <n v="2445.04"/>
    <x v="0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x v="4"/>
    <n v="1039.56"/>
    <x v="0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x v="2"/>
    <n v="36.65"/>
    <x v="1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x v="2"/>
    <n v="448.02"/>
    <x v="0"/>
  </r>
  <r>
    <s v="ORD200490"/>
    <d v="2024-07-22T00:00:00"/>
    <s v="C50097"/>
    <s v="Chair"/>
    <n v="5"/>
    <n v="467.81"/>
    <s v="539 Main St"/>
    <s v="Online"/>
    <s v="Cancelled"/>
    <s v="TRK62785150"/>
    <n v="10"/>
    <s v="No Coupon"/>
    <x v="3"/>
    <n v="2339.0500000000002"/>
    <x v="1"/>
  </r>
  <r>
    <s v="ORD200491"/>
    <d v="2023-01-05T00:00:00"/>
    <s v="C98168"/>
    <s v="Phone"/>
    <n v="5"/>
    <n v="420.7"/>
    <s v="481 Main St"/>
    <s v="Cash"/>
    <s v="Pending"/>
    <s v="TRK56423359"/>
    <n v="5"/>
    <s v="WINTER15"/>
    <x v="3"/>
    <n v="2103.5"/>
    <x v="0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x v="0"/>
    <n v="3032.6"/>
    <x v="0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x v="3"/>
    <n v="420.26"/>
    <x v="2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x v="1"/>
    <n v="1517.37"/>
    <x v="0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x v="3"/>
    <n v="1974.92"/>
    <x v="2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x v="4"/>
    <n v="603.63"/>
    <x v="2"/>
  </r>
  <r>
    <s v="ORD200497"/>
    <d v="2024-10-24T00:00:00"/>
    <s v="C93948"/>
    <s v="Printer"/>
    <n v="3"/>
    <n v="112.29"/>
    <s v="454 Main St"/>
    <s v="Gift Card"/>
    <s v="Shipped"/>
    <s v="TRK77358113"/>
    <n v="6"/>
    <s v="No Coupon"/>
    <x v="4"/>
    <n v="336.87"/>
    <x v="1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x v="0"/>
    <n v="530.24"/>
    <x v="0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x v="3"/>
    <n v="1618.38"/>
    <x v="0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x v="3"/>
    <n v="2542.9499999999998"/>
    <x v="1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x v="1"/>
    <n v="813.84"/>
    <x v="1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x v="2"/>
    <n v="1695.75"/>
    <x v="0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x v="3"/>
    <n v="410.52"/>
    <x v="0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x v="0"/>
    <n v="929"/>
    <x v="2"/>
  </r>
  <r>
    <s v="ORD200505"/>
    <d v="2023-06-11T00:00:00"/>
    <s v="C36014"/>
    <s v="Printer"/>
    <n v="2"/>
    <n v="434.97"/>
    <s v="558 Main St"/>
    <s v="Online"/>
    <s v="Shipped"/>
    <s v="TRK97246526"/>
    <n v="7"/>
    <s v="No Coupon"/>
    <x v="2"/>
    <n v="869.94"/>
    <x v="0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x v="0"/>
    <n v="87.34"/>
    <x v="0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x v="2"/>
    <n v="171.59"/>
    <x v="0"/>
  </r>
  <r>
    <s v="ORD200508"/>
    <d v="2025-05-14T00:00:00"/>
    <s v="C39550"/>
    <s v="Phone"/>
    <n v="1"/>
    <n v="558.27"/>
    <s v="976 Main St"/>
    <s v="Online"/>
    <s v="Delivered"/>
    <s v="TRK24120267"/>
    <n v="1"/>
    <s v="No Coupon"/>
    <x v="1"/>
    <n v="558.27"/>
    <x v="2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x v="4"/>
    <n v="850.06"/>
    <x v="0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x v="2"/>
    <n v="376.76"/>
    <x v="1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x v="2"/>
    <n v="2876.2"/>
    <x v="1"/>
  </r>
  <r>
    <s v="ORD200512"/>
    <d v="2024-09-27T00:00:00"/>
    <s v="C14114"/>
    <s v="Desk"/>
    <n v="3"/>
    <n v="568.02"/>
    <s v="856 Main St"/>
    <s v="Online"/>
    <s v="Pending"/>
    <s v="TRK63290700"/>
    <n v="3"/>
    <s v="FREESHIP"/>
    <x v="0"/>
    <n v="1704.06"/>
    <x v="1"/>
  </r>
  <r>
    <s v="ORD200513"/>
    <d v="2025-02-09T00:00:00"/>
    <s v="C64128"/>
    <s v="Tablet"/>
    <n v="3"/>
    <n v="94.88"/>
    <s v="533 Main St"/>
    <s v="Gift Card"/>
    <s v="Shipped"/>
    <s v="TRK37053575"/>
    <n v="8"/>
    <s v="No Coupon"/>
    <x v="1"/>
    <n v="284.64"/>
    <x v="2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x v="0"/>
    <n v="912.44999999999993"/>
    <x v="0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x v="3"/>
    <n v="1660.56"/>
    <x v="0"/>
  </r>
  <r>
    <s v="ORD200516"/>
    <d v="2024-04-07T00:00:00"/>
    <s v="C47022"/>
    <s v="Monitor"/>
    <n v="3"/>
    <n v="166.99"/>
    <s v="208 Main St"/>
    <s v="Cash"/>
    <s v="Returned"/>
    <s v="TRK28855040"/>
    <n v="8"/>
    <s v="No Coupon"/>
    <x v="3"/>
    <n v="500.97"/>
    <x v="1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x v="4"/>
    <n v="793.4"/>
    <x v="1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x v="1"/>
    <n v="1614.32"/>
    <x v="2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x v="2"/>
    <n v="1857.16"/>
    <x v="2"/>
  </r>
  <r>
    <s v="ORD200520"/>
    <d v="2023-03-10T00:00:00"/>
    <s v="C66332"/>
    <s v="Monitor"/>
    <n v="3"/>
    <n v="635.98"/>
    <s v="959 Main St"/>
    <s v="Cash"/>
    <s v="Returned"/>
    <s v="TRK27063398"/>
    <n v="5"/>
    <s v="No Coupon"/>
    <x v="1"/>
    <n v="1907.94"/>
    <x v="0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o Coupon"/>
    <x v="3"/>
    <n v="528.05999999999995"/>
    <x v="1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x v="2"/>
    <n v="515.32000000000005"/>
    <x v="1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x v="4"/>
    <n v="2631.16"/>
    <x v="2"/>
  </r>
  <r>
    <s v="ORD200524"/>
    <d v="2023-10-25T00:00:00"/>
    <s v="C44778"/>
    <s v="Phone"/>
    <n v="1"/>
    <n v="153"/>
    <s v="103 Main St"/>
    <s v="Credit Card"/>
    <s v="Returned"/>
    <s v="TRK92617366"/>
    <n v="4"/>
    <s v="No Coupon"/>
    <x v="1"/>
    <n v="153"/>
    <x v="0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x v="2"/>
    <n v="668.48"/>
    <x v="0"/>
  </r>
  <r>
    <s v="ORD200526"/>
    <d v="2024-02-29T00:00:00"/>
    <s v="C91201"/>
    <s v="Desk"/>
    <n v="2"/>
    <n v="46.5"/>
    <s v="837 Main St"/>
    <s v="Cash"/>
    <s v="Returned"/>
    <s v="TRK63526023"/>
    <n v="7"/>
    <s v="WINTER15"/>
    <x v="4"/>
    <n v="93"/>
    <x v="1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x v="1"/>
    <n v="3267.35"/>
    <x v="1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x v="1"/>
    <n v="628.89"/>
    <x v="2"/>
  </r>
  <r>
    <s v="ORD200529"/>
    <d v="2024-04-07T00:00:00"/>
    <s v="C21181"/>
    <s v="Tablet"/>
    <n v="2"/>
    <n v="675.1"/>
    <s v="938 Main St"/>
    <s v="Cash"/>
    <s v="Pending"/>
    <s v="TRK50363421"/>
    <n v="4"/>
    <s v="FREESHIP"/>
    <x v="4"/>
    <n v="1350.2"/>
    <x v="1"/>
  </r>
  <r>
    <s v="ORD200530"/>
    <d v="2024-07-18T00:00:00"/>
    <s v="C98450"/>
    <s v="Chair"/>
    <n v="4"/>
    <n v="89.41"/>
    <s v="613 Main St"/>
    <s v="Online"/>
    <s v="Pending"/>
    <s v="TRK14809530"/>
    <n v="9"/>
    <s v="No Coupon"/>
    <x v="4"/>
    <n v="357.64"/>
    <x v="1"/>
  </r>
  <r>
    <s v="ORD200531"/>
    <d v="2024-07-02T00:00:00"/>
    <s v="C64502"/>
    <s v="Desk"/>
    <n v="5"/>
    <n v="320.01"/>
    <s v="722 Main St"/>
    <s v="Gift Card"/>
    <s v="Delivered"/>
    <s v="TRK14914388"/>
    <n v="6"/>
    <s v="No Coupon"/>
    <x v="1"/>
    <n v="1600.05"/>
    <x v="1"/>
  </r>
  <r>
    <s v="ORD200532"/>
    <d v="2025-05-03T00:00:00"/>
    <s v="C47365"/>
    <s v="Laptop"/>
    <n v="2"/>
    <n v="41"/>
    <s v="369 Main St"/>
    <s v="Online"/>
    <s v="Delivered"/>
    <s v="TRK42207882"/>
    <n v="7"/>
    <s v="No Coupon"/>
    <x v="2"/>
    <n v="82"/>
    <x v="2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x v="3"/>
    <n v="565.85"/>
    <x v="0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x v="2"/>
    <n v="1945.77"/>
    <x v="1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x v="2"/>
    <n v="204.36"/>
    <x v="1"/>
  </r>
  <r>
    <s v="ORD200536"/>
    <d v="2024-06-09T00:00:00"/>
    <s v="C18724"/>
    <s v="Chair"/>
    <n v="1"/>
    <n v="616.1"/>
    <s v="124 Main St"/>
    <s v="Cash"/>
    <s v="Returned"/>
    <s v="TRK52508861"/>
    <n v="6"/>
    <s v="No Coupon"/>
    <x v="2"/>
    <n v="616.1"/>
    <x v="1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x v="3"/>
    <n v="742.41"/>
    <x v="2"/>
  </r>
  <r>
    <s v="ORD200538"/>
    <d v="2024-05-24T00:00:00"/>
    <s v="C61280"/>
    <s v="Phone"/>
    <n v="3"/>
    <n v="490.74"/>
    <s v="100 Main St"/>
    <s v="Cash"/>
    <s v="Shipped"/>
    <s v="TRK95487711"/>
    <n v="3"/>
    <s v="WINTER15"/>
    <x v="2"/>
    <n v="1472.22"/>
    <x v="1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x v="4"/>
    <n v="1595.16"/>
    <x v="2"/>
  </r>
  <r>
    <s v="ORD200540"/>
    <d v="2024-01-29T00:00:00"/>
    <s v="C87281"/>
    <s v="Laptop"/>
    <n v="5"/>
    <n v="648.65"/>
    <s v="852 Main St"/>
    <s v="Online"/>
    <s v="Pending"/>
    <s v="TRK81765057"/>
    <n v="7"/>
    <s v="No Coupon"/>
    <x v="1"/>
    <n v="3243.25"/>
    <x v="1"/>
  </r>
  <r>
    <s v="ORD200541"/>
    <d v="2023-08-07T00:00:00"/>
    <s v="C69009"/>
    <s v="Printer"/>
    <n v="5"/>
    <n v="456.06"/>
    <s v="879 Main St"/>
    <s v="Cash"/>
    <s v="Pending"/>
    <s v="TRK61295842"/>
    <n v="10"/>
    <s v="No Coupon"/>
    <x v="0"/>
    <n v="2280.3000000000002"/>
    <x v="0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x v="2"/>
    <n v="17.98"/>
    <x v="0"/>
  </r>
  <r>
    <s v="ORD200543"/>
    <d v="2024-03-09T00:00:00"/>
    <s v="C37531"/>
    <s v="Desk"/>
    <n v="5"/>
    <n v="269.86"/>
    <s v="354 Main St"/>
    <s v="Cash"/>
    <s v="Shipped"/>
    <s v="TRK93877673"/>
    <n v="6"/>
    <s v="WINTER15"/>
    <x v="3"/>
    <n v="1349.3"/>
    <x v="1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x v="1"/>
    <n v="159.80000000000001"/>
    <x v="1"/>
  </r>
  <r>
    <s v="ORD200545"/>
    <d v="2023-12-19T00:00:00"/>
    <s v="C74138"/>
    <s v="Monitor"/>
    <n v="2"/>
    <n v="98.47"/>
    <s v="964 Main St"/>
    <s v="Cash"/>
    <s v="Returned"/>
    <s v="TRK74091695"/>
    <n v="3"/>
    <s v="No Coupon"/>
    <x v="0"/>
    <n v="196.94"/>
    <x v="0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x v="0"/>
    <n v="158.68"/>
    <x v="1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x v="3"/>
    <n v="613.98"/>
    <x v="0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x v="0"/>
    <n v="1278.3599999999999"/>
    <x v="1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x v="0"/>
    <n v="2519.52"/>
    <x v="2"/>
  </r>
  <r>
    <s v="ORD200550"/>
    <d v="2023-10-29T00:00:00"/>
    <s v="C97485"/>
    <s v="Laptop"/>
    <n v="4"/>
    <n v="228.91"/>
    <s v="573 Main St"/>
    <s v="Cash"/>
    <s v="Shipped"/>
    <s v="TRK81794737"/>
    <n v="4"/>
    <s v="FREESHIP"/>
    <x v="4"/>
    <n v="915.64"/>
    <x v="0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x v="2"/>
    <n v="120.98"/>
    <x v="0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x v="3"/>
    <n v="1700.72"/>
    <x v="0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x v="1"/>
    <n v="667.66"/>
    <x v="0"/>
  </r>
  <r>
    <s v="ORD200554"/>
    <d v="2025-05-30T00:00:00"/>
    <s v="C61943"/>
    <s v="Laptop"/>
    <n v="2"/>
    <n v="492.9"/>
    <s v="610 Main St"/>
    <s v="Cash"/>
    <s v="Returned"/>
    <s v="TRK66126496"/>
    <n v="5"/>
    <s v="FREESHIP"/>
    <x v="0"/>
    <n v="985.8"/>
    <x v="2"/>
  </r>
  <r>
    <s v="ORD200555"/>
    <d v="2023-01-07T00:00:00"/>
    <s v="C88933"/>
    <s v="Tablet"/>
    <n v="1"/>
    <n v="92.04"/>
    <s v="333 Main St"/>
    <s v="Cash"/>
    <s v="Shipped"/>
    <s v="TRK89306964"/>
    <n v="2"/>
    <s v="No Coupon"/>
    <x v="3"/>
    <n v="92.04"/>
    <x v="0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x v="3"/>
    <n v="654.27"/>
    <x v="0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x v="3"/>
    <n v="56.2"/>
    <x v="0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x v="0"/>
    <n v="2512.48"/>
    <x v="1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x v="2"/>
    <n v="472.2"/>
    <x v="1"/>
  </r>
  <r>
    <s v="ORD200560"/>
    <d v="2023-01-31T00:00:00"/>
    <s v="C33634"/>
    <s v="Monitor"/>
    <n v="4"/>
    <n v="588.85"/>
    <s v="524 Main St"/>
    <s v="Gift Card"/>
    <s v="Pending"/>
    <s v="TRK93168008"/>
    <n v="7"/>
    <s v="No Coupon"/>
    <x v="2"/>
    <n v="2355.4"/>
    <x v="0"/>
  </r>
  <r>
    <s v="ORD200561"/>
    <d v="2023-01-31T00:00:00"/>
    <s v="C96822"/>
    <s v="Printer"/>
    <n v="2"/>
    <n v="494.78"/>
    <s v="198 Main St"/>
    <s v="Online"/>
    <s v="Shipped"/>
    <s v="TRK89180077"/>
    <n v="2"/>
    <s v="No Coupon"/>
    <x v="4"/>
    <n v="989.56"/>
    <x v="0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x v="2"/>
    <n v="1991.79"/>
    <x v="0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x v="1"/>
    <n v="132.68"/>
    <x v="0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x v="4"/>
    <n v="1821.4"/>
    <x v="2"/>
  </r>
  <r>
    <s v="ORD200565"/>
    <d v="2023-05-14T00:00:00"/>
    <s v="C62042"/>
    <s v="Tablet"/>
    <n v="5"/>
    <n v="307.98"/>
    <s v="214 Main St"/>
    <s v="Online"/>
    <s v="Pending"/>
    <s v="TRK42605492"/>
    <n v="10"/>
    <s v="No Coupon"/>
    <x v="3"/>
    <n v="1539.9"/>
    <x v="0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x v="2"/>
    <n v="650.84"/>
    <x v="1"/>
  </r>
  <r>
    <s v="ORD200567"/>
    <d v="2024-09-30T00:00:00"/>
    <s v="C92575"/>
    <s v="Chair"/>
    <n v="5"/>
    <n v="492.94"/>
    <s v="153 Main St"/>
    <s v="Cash"/>
    <s v="Shipped"/>
    <s v="TRK53579227"/>
    <n v="10"/>
    <s v="FREESHIP"/>
    <x v="2"/>
    <n v="2464.6999999999998"/>
    <x v="1"/>
  </r>
  <r>
    <s v="ORD200568"/>
    <d v="2023-03-10T00:00:00"/>
    <s v="C29072"/>
    <s v="Laptop"/>
    <n v="2"/>
    <n v="343.99"/>
    <s v="312 Main St"/>
    <s v="Online"/>
    <s v="Delivered"/>
    <s v="TRK72334047"/>
    <n v="4"/>
    <s v="No Coupon"/>
    <x v="4"/>
    <n v="687.98"/>
    <x v="0"/>
  </r>
  <r>
    <s v="ORD200569"/>
    <d v="2025-03-22T00:00:00"/>
    <s v="C25783"/>
    <s v="Desk"/>
    <n v="5"/>
    <n v="250.68"/>
    <s v="672 Main St"/>
    <s v="Cash"/>
    <s v="Shipped"/>
    <s v="TRK13289741"/>
    <n v="8"/>
    <s v="SAVE10"/>
    <x v="0"/>
    <n v="1253.4000000000001"/>
    <x v="2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x v="0"/>
    <n v="724.28"/>
    <x v="1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x v="4"/>
    <n v="214.08"/>
    <x v="1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x v="3"/>
    <n v="70.319999999999993"/>
    <x v="0"/>
  </r>
  <r>
    <s v="ORD200573"/>
    <d v="2023-01-25T00:00:00"/>
    <s v="C13205"/>
    <s v="Chair"/>
    <n v="5"/>
    <n v="421.42"/>
    <s v="522 Main St"/>
    <s v="Debit Card"/>
    <s v="Cancelled"/>
    <s v="TRK30686578"/>
    <n v="7"/>
    <s v="No Coupon"/>
    <x v="0"/>
    <n v="2107.1"/>
    <x v="0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x v="2"/>
    <n v="1923.45"/>
    <x v="1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x v="4"/>
    <n v="2240.75"/>
    <x v="0"/>
  </r>
  <r>
    <s v="ORD200576"/>
    <d v="2024-05-29T00:00:00"/>
    <s v="C14457"/>
    <s v="Laptop"/>
    <n v="5"/>
    <n v="79.08"/>
    <s v="747 Main St"/>
    <s v="Cash"/>
    <s v="Pending"/>
    <s v="TRK42517811"/>
    <n v="8"/>
    <s v="No Coupon"/>
    <x v="3"/>
    <n v="395.4"/>
    <x v="1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x v="4"/>
    <n v="741.64"/>
    <x v="0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x v="0"/>
    <n v="2830.35"/>
    <x v="1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x v="3"/>
    <n v="375.76"/>
    <x v="0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x v="0"/>
    <n v="511.98"/>
    <x v="0"/>
  </r>
  <r>
    <s v="ORD200581"/>
    <d v="2024-11-11T00:00:00"/>
    <s v="C44674"/>
    <s v="Laptop"/>
    <n v="1"/>
    <n v="627.34"/>
    <s v="942 Main St"/>
    <s v="Online"/>
    <s v="Delivered"/>
    <s v="TRK87158684"/>
    <n v="1"/>
    <s v="No Coupon"/>
    <x v="1"/>
    <n v="627.34"/>
    <x v="1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x v="4"/>
    <n v="1422.42"/>
    <x v="1"/>
  </r>
  <r>
    <s v="ORD200583"/>
    <d v="2025-06-15T00:00:00"/>
    <s v="C27072"/>
    <s v="Chair"/>
    <n v="3"/>
    <n v="154.37"/>
    <s v="996 Main St"/>
    <s v="Gift Card"/>
    <s v="Delivered"/>
    <s v="TRK29750379"/>
    <n v="4"/>
    <s v="No Coupon"/>
    <x v="0"/>
    <n v="463.11"/>
    <x v="2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x v="4"/>
    <n v="580.20000000000005"/>
    <x v="2"/>
  </r>
  <r>
    <s v="ORD200585"/>
    <d v="2023-08-20T00:00:00"/>
    <s v="C91486"/>
    <s v="Tablet"/>
    <n v="4"/>
    <n v="67.08"/>
    <s v="907 Main St"/>
    <s v="Cash"/>
    <s v="Returned"/>
    <s v="TRK79617136"/>
    <n v="8"/>
    <s v="WINTER15"/>
    <x v="4"/>
    <n v="268.32"/>
    <x v="0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x v="1"/>
    <n v="522.08000000000004"/>
    <x v="1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x v="0"/>
    <n v="2573"/>
    <x v="0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o Coupon"/>
    <x v="4"/>
    <n v="2311.2800000000002"/>
    <x v="1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x v="1"/>
    <n v="1001.6"/>
    <x v="2"/>
  </r>
  <r>
    <s v="ORD200590"/>
    <d v="2023-09-10T00:00:00"/>
    <s v="C55757"/>
    <s v="Printer"/>
    <n v="2"/>
    <n v="461.13"/>
    <s v="175 Main St"/>
    <s v="Gift Card"/>
    <s v="Returned"/>
    <s v="TRK27356242"/>
    <n v="4"/>
    <s v="No Coupon"/>
    <x v="2"/>
    <n v="922.26"/>
    <x v="0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x v="1"/>
    <n v="605.28"/>
    <x v="1"/>
  </r>
  <r>
    <s v="ORD200592"/>
    <d v="2024-04-23T00:00:00"/>
    <s v="C42306"/>
    <s v="Phone"/>
    <n v="3"/>
    <n v="204.27"/>
    <s v="938 Main St"/>
    <s v="Online"/>
    <s v="Returned"/>
    <s v="TRK15499648"/>
    <n v="4"/>
    <s v="No Coupon"/>
    <x v="4"/>
    <n v="612.81000000000006"/>
    <x v="1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x v="3"/>
    <n v="489.8"/>
    <x v="0"/>
  </r>
  <r>
    <s v="ORD200594"/>
    <d v="2024-02-21T00:00:00"/>
    <s v="C40140"/>
    <s v="Phone"/>
    <n v="5"/>
    <n v="72.64"/>
    <s v="598 Main St"/>
    <s v="Credit Card"/>
    <s v="Cancelled"/>
    <s v="TRK12671989"/>
    <n v="7"/>
    <s v="No Coupon"/>
    <x v="2"/>
    <n v="363.2"/>
    <x v="1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x v="2"/>
    <n v="770.32"/>
    <x v="2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x v="3"/>
    <n v="1819.23"/>
    <x v="0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x v="2"/>
    <n v="423.64"/>
    <x v="1"/>
  </r>
  <r>
    <s v="ORD200598"/>
    <d v="2024-04-26T00:00:00"/>
    <s v="C60329"/>
    <s v="Desk"/>
    <n v="5"/>
    <n v="495.35"/>
    <s v="826 Main St"/>
    <s v="Credit Card"/>
    <s v="Pending"/>
    <s v="TRK59069987"/>
    <n v="5"/>
    <s v="No Coupon"/>
    <x v="3"/>
    <n v="2476.75"/>
    <x v="1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x v="3"/>
    <n v="1670.97"/>
    <x v="0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x v="3"/>
    <n v="72.31"/>
    <x v="0"/>
  </r>
  <r>
    <s v="ORD200601"/>
    <d v="2023-10-02T00:00:00"/>
    <s v="C12479"/>
    <s v="Monitor"/>
    <n v="5"/>
    <n v="24.82"/>
    <s v="529 Main St"/>
    <s v="Credit Card"/>
    <s v="Shipped"/>
    <s v="TRK73935314"/>
    <n v="10"/>
    <s v="No Coupon"/>
    <x v="1"/>
    <n v="124.1"/>
    <x v="0"/>
  </r>
  <r>
    <s v="ORD200602"/>
    <d v="2024-03-05T00:00:00"/>
    <s v="C35852"/>
    <s v="Tablet"/>
    <n v="4"/>
    <n v="26.04"/>
    <s v="982 Main St"/>
    <s v="Online"/>
    <s v="Pending"/>
    <s v="TRK64660134"/>
    <n v="5"/>
    <s v="SAVE10"/>
    <x v="0"/>
    <n v="104.16"/>
    <x v="1"/>
  </r>
  <r>
    <s v="ORD200603"/>
    <d v="2024-10-04T00:00:00"/>
    <s v="C26223"/>
    <s v="Tablet"/>
    <n v="1"/>
    <n v="657.07"/>
    <s v="800 Main St"/>
    <s v="Cash"/>
    <s v="Pending"/>
    <s v="TRK50900547"/>
    <n v="4"/>
    <s v="SAVE10"/>
    <x v="4"/>
    <n v="657.07"/>
    <x v="1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o Coupon"/>
    <x v="3"/>
    <n v="97.859999999999985"/>
    <x v="2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x v="1"/>
    <n v="457.82"/>
    <x v="1"/>
  </r>
  <r>
    <s v="ORD200606"/>
    <d v="2024-11-06T00:00:00"/>
    <s v="C85018"/>
    <s v="Laptop"/>
    <n v="3"/>
    <n v="274.75"/>
    <s v="783 Main St"/>
    <s v="Cash"/>
    <s v="Cancelled"/>
    <s v="TRK54128886"/>
    <n v="3"/>
    <s v="SAVE10"/>
    <x v="4"/>
    <n v="824.25"/>
    <x v="1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x v="4"/>
    <n v="2536.1999999999998"/>
    <x v="2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x v="0"/>
    <n v="2715.8"/>
    <x v="1"/>
  </r>
  <r>
    <s v="ORD200609"/>
    <d v="2025-01-27T00:00:00"/>
    <s v="C41137"/>
    <s v="Chair"/>
    <n v="3"/>
    <n v="449.13"/>
    <s v="809 Main St"/>
    <s v="Cash"/>
    <s v="Returned"/>
    <s v="TRK52732162"/>
    <n v="5"/>
    <s v="WINTER15"/>
    <x v="1"/>
    <n v="1347.39"/>
    <x v="2"/>
  </r>
  <r>
    <s v="ORD200610"/>
    <d v="2024-06-16T00:00:00"/>
    <s v="C60361"/>
    <s v="Desk"/>
    <n v="5"/>
    <n v="389.62"/>
    <s v="623 Main St"/>
    <s v="Cash"/>
    <s v="Returned"/>
    <s v="TRK83566924"/>
    <n v="7"/>
    <s v="FREESHIP"/>
    <x v="3"/>
    <n v="1948.1"/>
    <x v="1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x v="1"/>
    <n v="305.17"/>
    <x v="0"/>
  </r>
  <r>
    <s v="ORD200612"/>
    <d v="2023-06-02T00:00:00"/>
    <s v="C51811"/>
    <s v="Chair"/>
    <n v="3"/>
    <n v="445.12"/>
    <s v="339 Main St"/>
    <s v="Gift Card"/>
    <s v="Cancelled"/>
    <s v="TRK82377939"/>
    <n v="8"/>
    <s v="No Coupon"/>
    <x v="4"/>
    <n v="1335.36"/>
    <x v="0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x v="2"/>
    <n v="460.72"/>
    <x v="1"/>
  </r>
  <r>
    <s v="ORD200614"/>
    <d v="2024-03-08T00:00:00"/>
    <s v="C77363"/>
    <s v="Phone"/>
    <n v="1"/>
    <n v="96.81"/>
    <s v="807 Main St"/>
    <s v="Gift Card"/>
    <s v="Cancelled"/>
    <s v="TRK12439827"/>
    <n v="3"/>
    <s v="No Coupon"/>
    <x v="1"/>
    <n v="96.81"/>
    <x v="1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x v="3"/>
    <n v="2300.6999999999998"/>
    <x v="2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x v="3"/>
    <n v="1804.8"/>
    <x v="1"/>
  </r>
  <r>
    <s v="ORD200617"/>
    <d v="2024-02-08T00:00:00"/>
    <s v="C57093"/>
    <s v="Tablet"/>
    <n v="3"/>
    <n v="184.47"/>
    <s v="834 Main St"/>
    <s v="Online"/>
    <s v="Cancelled"/>
    <s v="TRK75469057"/>
    <n v="4"/>
    <s v="No Coupon"/>
    <x v="1"/>
    <n v="553.41"/>
    <x v="1"/>
  </r>
  <r>
    <s v="ORD200618"/>
    <d v="2024-09-03T00:00:00"/>
    <s v="C50565"/>
    <s v="Tablet"/>
    <n v="1"/>
    <n v="411.34"/>
    <s v="399 Main St"/>
    <s v="Debit Card"/>
    <s v="Returned"/>
    <s v="TRK97981418"/>
    <n v="5"/>
    <s v="No Coupon"/>
    <x v="0"/>
    <n v="411.34"/>
    <x v="1"/>
  </r>
  <r>
    <s v="ORD200619"/>
    <d v="2024-07-16T00:00:00"/>
    <s v="C38845"/>
    <s v="Laptop"/>
    <n v="1"/>
    <n v="532.89"/>
    <s v="764 Main St"/>
    <s v="Gift Card"/>
    <s v="Pending"/>
    <s v="TRK47637374"/>
    <n v="2"/>
    <s v="No Coupon"/>
    <x v="1"/>
    <n v="532.89"/>
    <x v="1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x v="1"/>
    <n v="409.02"/>
    <x v="1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x v="4"/>
    <n v="2380.0500000000002"/>
    <x v="0"/>
  </r>
  <r>
    <s v="ORD200622"/>
    <d v="2024-11-02T00:00:00"/>
    <s v="C27078"/>
    <s v="Desk"/>
    <n v="5"/>
    <n v="236.38"/>
    <s v="128 Main St"/>
    <s v="Credit Card"/>
    <s v="Returned"/>
    <s v="TRK89314307"/>
    <n v="7"/>
    <s v="No Coupon"/>
    <x v="3"/>
    <n v="1181.9000000000001"/>
    <x v="1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x v="0"/>
    <n v="1188"/>
    <x v="0"/>
  </r>
  <r>
    <s v="ORD200624"/>
    <d v="2024-01-16T00:00:00"/>
    <s v="C25967"/>
    <s v="Tablet"/>
    <n v="5"/>
    <n v="341.96"/>
    <s v="747 Main St"/>
    <s v="Debit Card"/>
    <s v="Delivered"/>
    <s v="TRK88559278"/>
    <n v="6"/>
    <s v="No Coupon"/>
    <x v="2"/>
    <n v="1709.8"/>
    <x v="1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x v="2"/>
    <n v="672.89"/>
    <x v="0"/>
  </r>
  <r>
    <s v="ORD200626"/>
    <d v="2024-03-01T00:00:00"/>
    <s v="C45671"/>
    <s v="Tablet"/>
    <n v="2"/>
    <n v="657.48"/>
    <s v="769 Main St"/>
    <s v="Online"/>
    <s v="Shipped"/>
    <s v="TRK18179773"/>
    <n v="5"/>
    <s v="SAVE10"/>
    <x v="1"/>
    <n v="1314.96"/>
    <x v="1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x v="2"/>
    <n v="1496.04"/>
    <x v="0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x v="1"/>
    <n v="2793.15"/>
    <x v="0"/>
  </r>
  <r>
    <s v="ORD200629"/>
    <d v="2023-07-07T00:00:00"/>
    <s v="C50137"/>
    <s v="Phone"/>
    <n v="3"/>
    <n v="19.73"/>
    <s v="840 Main St"/>
    <s v="Online"/>
    <s v="Pending"/>
    <s v="TRK91836131"/>
    <n v="3"/>
    <s v="No Coupon"/>
    <x v="1"/>
    <n v="59.19"/>
    <x v="0"/>
  </r>
  <r>
    <s v="ORD200630"/>
    <d v="2023-06-23T00:00:00"/>
    <s v="C51481"/>
    <s v="Monitor"/>
    <n v="5"/>
    <n v="248.84"/>
    <s v="140 Main St"/>
    <s v="Debit Card"/>
    <s v="Cancelled"/>
    <s v="TRK33437701"/>
    <n v="10"/>
    <s v="No Coupon"/>
    <x v="0"/>
    <n v="1244.2"/>
    <x v="0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x v="1"/>
    <n v="138.33000000000001"/>
    <x v="1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x v="3"/>
    <n v="3390.8"/>
    <x v="0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x v="0"/>
    <n v="3008.6"/>
    <x v="1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x v="1"/>
    <n v="518.64"/>
    <x v="1"/>
  </r>
  <r>
    <s v="ORD200635"/>
    <d v="2023-12-13T00:00:00"/>
    <s v="C12818"/>
    <s v="Chair"/>
    <n v="3"/>
    <n v="63.68"/>
    <s v="434 Main St"/>
    <s v="Cash"/>
    <s v="Returned"/>
    <s v="TRK40879983"/>
    <n v="6"/>
    <s v="No Coupon"/>
    <x v="3"/>
    <n v="191.04"/>
    <x v="0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x v="3"/>
    <n v="1484.28"/>
    <x v="0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x v="1"/>
    <n v="1225.4000000000001"/>
    <x v="1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x v="2"/>
    <n v="2313.08"/>
    <x v="0"/>
  </r>
  <r>
    <s v="ORD200639"/>
    <d v="2023-01-20T00:00:00"/>
    <s v="C22534"/>
    <s v="Chair"/>
    <n v="1"/>
    <n v="529.19000000000005"/>
    <s v="391 Main St"/>
    <s v="Cash"/>
    <s v="Cancelled"/>
    <s v="TRK17415798"/>
    <n v="5"/>
    <s v="No Coupon"/>
    <x v="1"/>
    <n v="529.19000000000005"/>
    <x v="0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x v="1"/>
    <n v="1174.98"/>
    <x v="1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x v="4"/>
    <n v="2270.2800000000002"/>
    <x v="1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x v="2"/>
    <n v="426.1"/>
    <x v="1"/>
  </r>
  <r>
    <s v="ORD200643"/>
    <d v="2024-08-26T00:00:00"/>
    <s v="C77122"/>
    <s v="Laptop"/>
    <n v="1"/>
    <n v="438.37"/>
    <s v="647 Main St"/>
    <s v="Cash"/>
    <s v="Cancelled"/>
    <s v="TRK75814880"/>
    <n v="4"/>
    <s v="SAVE10"/>
    <x v="1"/>
    <n v="438.37"/>
    <x v="1"/>
  </r>
  <r>
    <s v="ORD200644"/>
    <d v="2023-11-15T00:00:00"/>
    <s v="C86524"/>
    <s v="Chair"/>
    <n v="2"/>
    <n v="366.23"/>
    <s v="961 Main St"/>
    <s v="Cash"/>
    <s v="Shipped"/>
    <s v="TRK62490506"/>
    <n v="2"/>
    <s v="WINTER15"/>
    <x v="2"/>
    <n v="732.46"/>
    <x v="0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x v="3"/>
    <n v="300.10000000000002"/>
    <x v="0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x v="4"/>
    <n v="1994.04"/>
    <x v="0"/>
  </r>
  <r>
    <s v="ORD200647"/>
    <d v="2025-04-24T00:00:00"/>
    <s v="C54409"/>
    <s v="Desk"/>
    <n v="3"/>
    <n v="339.39"/>
    <s v="667 Main St"/>
    <s v="Cash"/>
    <s v="Returned"/>
    <s v="TRK67671316"/>
    <n v="7"/>
    <s v="FREESHIP"/>
    <x v="4"/>
    <n v="1018.17"/>
    <x v="2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x v="1"/>
    <n v="1151.6600000000001"/>
    <x v="2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x v="2"/>
    <n v="1285.96"/>
    <x v="0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x v="2"/>
    <n v="744.46"/>
    <x v="0"/>
  </r>
  <r>
    <s v="ORD200651"/>
    <d v="2024-11-12T00:00:00"/>
    <s v="C81192"/>
    <s v="Chair"/>
    <n v="3"/>
    <n v="646.34"/>
    <s v="429 Main St"/>
    <s v="Debit Card"/>
    <s v="Pending"/>
    <s v="TRK76931118"/>
    <n v="5"/>
    <s v="No Coupon"/>
    <x v="4"/>
    <n v="1939.02"/>
    <x v="1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x v="0"/>
    <n v="1709.2"/>
    <x v="1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x v="4"/>
    <n v="2070.9"/>
    <x v="1"/>
  </r>
  <r>
    <s v="ORD200654"/>
    <d v="2023-06-12T00:00:00"/>
    <s v="C62661"/>
    <s v="Tablet"/>
    <n v="3"/>
    <n v="382.37"/>
    <s v="863 Main St"/>
    <s v="Debit Card"/>
    <s v="Returned"/>
    <s v="TRK25748100"/>
    <n v="8"/>
    <s v="No Coupon"/>
    <x v="0"/>
    <n v="1147.1099999999999"/>
    <x v="0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x v="2"/>
    <n v="265.2"/>
    <x v="0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x v="3"/>
    <n v="378.12"/>
    <x v="1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x v="0"/>
    <n v="351.16"/>
    <x v="0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x v="4"/>
    <n v="92.72"/>
    <x v="2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x v="2"/>
    <n v="1284.08"/>
    <x v="1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x v="3"/>
    <n v="1303.1400000000001"/>
    <x v="1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x v="4"/>
    <n v="1274.67"/>
    <x v="2"/>
  </r>
  <r>
    <s v="ORD200662"/>
    <d v="2023-01-28T00:00:00"/>
    <s v="C98332"/>
    <s v="Laptop"/>
    <n v="3"/>
    <n v="438.89"/>
    <s v="985 Main St"/>
    <s v="Cash"/>
    <s v="Returned"/>
    <s v="TRK85744797"/>
    <n v="3"/>
    <s v="No Coupon"/>
    <x v="3"/>
    <n v="1316.67"/>
    <x v="0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x v="0"/>
    <n v="72.599999999999994"/>
    <x v="1"/>
  </r>
  <r>
    <s v="ORD200664"/>
    <d v="2024-12-19T00:00:00"/>
    <s v="C14847"/>
    <s v="Laptop"/>
    <n v="4"/>
    <n v="194.75"/>
    <s v="188 Main St"/>
    <s v="Cash"/>
    <s v="Shipped"/>
    <s v="TRK46492755"/>
    <n v="5"/>
    <s v="No Coupon"/>
    <x v="3"/>
    <n v="779"/>
    <x v="1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x v="4"/>
    <n v="925.04"/>
    <x v="0"/>
  </r>
  <r>
    <s v="ORD200666"/>
    <d v="2024-08-31T00:00:00"/>
    <s v="C35711"/>
    <s v="Monitor"/>
    <n v="4"/>
    <n v="327.12"/>
    <s v="788 Main St"/>
    <s v="Credit Card"/>
    <s v="Cancelled"/>
    <s v="TRK45281495"/>
    <n v="4"/>
    <s v="No Coupon"/>
    <x v="2"/>
    <n v="1308.48"/>
    <x v="1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x v="2"/>
    <n v="466.42"/>
    <x v="0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x v="3"/>
    <n v="507.34"/>
    <x v="1"/>
  </r>
  <r>
    <s v="ORD200669"/>
    <d v="2023-02-05T00:00:00"/>
    <s v="C60547"/>
    <s v="Desk"/>
    <n v="1"/>
    <n v="257"/>
    <s v="812 Main St"/>
    <s v="Debit Card"/>
    <s v="Cancelled"/>
    <s v="TRK65694249"/>
    <n v="5"/>
    <s v="No Coupon"/>
    <x v="1"/>
    <n v="257"/>
    <x v="0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x v="4"/>
    <n v="2156.8000000000002"/>
    <x v="1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x v="4"/>
    <n v="253.7"/>
    <x v="0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x v="0"/>
    <n v="1248.32"/>
    <x v="0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x v="2"/>
    <n v="745.84"/>
    <x v="0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x v="3"/>
    <n v="1435"/>
    <x v="1"/>
  </r>
  <r>
    <s v="ORD200675"/>
    <d v="2024-08-06T00:00:00"/>
    <s v="C97749"/>
    <s v="Desk"/>
    <n v="3"/>
    <n v="342.02"/>
    <s v="906 Main St"/>
    <s v="Debit Card"/>
    <s v="Pending"/>
    <s v="TRK90233116"/>
    <n v="5"/>
    <s v="No Coupon"/>
    <x v="2"/>
    <n v="1026.06"/>
    <x v="1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x v="0"/>
    <n v="844.68"/>
    <x v="2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x v="0"/>
    <n v="110.35"/>
    <x v="2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x v="3"/>
    <n v="489.39"/>
    <x v="1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x v="0"/>
    <n v="1081.98"/>
    <x v="0"/>
  </r>
  <r>
    <s v="ORD200680"/>
    <d v="2023-08-27T00:00:00"/>
    <s v="C16702"/>
    <s v="Monitor"/>
    <n v="3"/>
    <n v="463.39"/>
    <s v="694 Main St"/>
    <s v="Credit Card"/>
    <s v="Returned"/>
    <s v="TRK16953491"/>
    <n v="3"/>
    <s v="No Coupon"/>
    <x v="3"/>
    <n v="1390.17"/>
    <x v="0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o Coupon"/>
    <x v="2"/>
    <n v="155.27000000000001"/>
    <x v="1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x v="4"/>
    <n v="1528.26"/>
    <x v="0"/>
  </r>
  <r>
    <s v="ORD200683"/>
    <d v="2025-05-18T00:00:00"/>
    <s v="C91591"/>
    <s v="Desk"/>
    <n v="4"/>
    <n v="652.48"/>
    <s v="887 Main St"/>
    <s v="Cash"/>
    <s v="Pending"/>
    <s v="TRK23554043"/>
    <n v="5"/>
    <s v="FREESHIP"/>
    <x v="0"/>
    <n v="2609.92"/>
    <x v="2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o Coupon"/>
    <x v="2"/>
    <n v="139.36000000000001"/>
    <x v="1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x v="2"/>
    <n v="234.37"/>
    <x v="2"/>
  </r>
  <r>
    <s v="ORD200686"/>
    <d v="2023-10-09T00:00:00"/>
    <s v="C41903"/>
    <s v="Desk"/>
    <n v="3"/>
    <n v="53.6"/>
    <s v="525 Main St"/>
    <s v="Cash"/>
    <s v="Pending"/>
    <s v="TRK59112382"/>
    <n v="4"/>
    <s v="WINTER15"/>
    <x v="3"/>
    <n v="160.80000000000001"/>
    <x v="0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x v="0"/>
    <n v="332.09"/>
    <x v="0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x v="3"/>
    <n v="2372.88"/>
    <x v="1"/>
  </r>
  <r>
    <s v="ORD200689"/>
    <d v="2023-08-29T00:00:00"/>
    <s v="C13186"/>
    <s v="Tablet"/>
    <n v="2"/>
    <n v="444.84"/>
    <s v="787 Main St"/>
    <s v="Online"/>
    <s v="Shipped"/>
    <s v="TRK56967415"/>
    <n v="7"/>
    <s v="No Coupon"/>
    <x v="3"/>
    <n v="889.68"/>
    <x v="0"/>
  </r>
  <r>
    <s v="ORD200690"/>
    <d v="2024-07-12T00:00:00"/>
    <s v="C29318"/>
    <s v="Monitor"/>
    <n v="1"/>
    <n v="24.48"/>
    <s v="128 Main St"/>
    <s v="Gift Card"/>
    <s v="Returned"/>
    <s v="TRK88666721"/>
    <n v="1"/>
    <s v="No Coupon"/>
    <x v="0"/>
    <n v="24.48"/>
    <x v="1"/>
  </r>
  <r>
    <s v="ORD200691"/>
    <d v="2024-11-24T00:00:00"/>
    <s v="C36137"/>
    <s v="Laptop"/>
    <n v="3"/>
    <n v="239.08"/>
    <s v="396 Main St"/>
    <s v="Cash"/>
    <s v="Shipped"/>
    <s v="TRK57376416"/>
    <n v="8"/>
    <s v="No Coupon"/>
    <x v="4"/>
    <n v="717.24"/>
    <x v="1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x v="0"/>
    <n v="984.2"/>
    <x v="0"/>
  </r>
  <r>
    <s v="ORD200693"/>
    <d v="2025-03-12T00:00:00"/>
    <s v="C62070"/>
    <s v="Monitor"/>
    <n v="1"/>
    <n v="176.58"/>
    <s v="674 Main St"/>
    <s v="Debit Card"/>
    <s v="Returned"/>
    <s v="TRK10267127"/>
    <n v="4"/>
    <s v="No Coupon"/>
    <x v="1"/>
    <n v="176.58"/>
    <x v="2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x v="2"/>
    <n v="2666.08"/>
    <x v="0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x v="2"/>
    <n v="506.5"/>
    <x v="1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x v="3"/>
    <n v="604.79999999999995"/>
    <x v="0"/>
  </r>
  <r>
    <s v="ORD200697"/>
    <d v="2025-02-04T00:00:00"/>
    <s v="C27430"/>
    <s v="Printer"/>
    <n v="5"/>
    <n v="94.85"/>
    <s v="788 Main St"/>
    <s v="Cash"/>
    <s v="Shipped"/>
    <s v="TRK45025840"/>
    <n v="6"/>
    <s v="WINTER15"/>
    <x v="2"/>
    <n v="474.25"/>
    <x v="2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x v="0"/>
    <n v="776.44"/>
    <x v="0"/>
  </r>
  <r>
    <s v="ORD200699"/>
    <d v="2023-11-13T00:00:00"/>
    <s v="C36813"/>
    <s v="Laptop"/>
    <n v="3"/>
    <n v="614.15"/>
    <s v="897 Main St"/>
    <s v="Gift Card"/>
    <s v="Cancelled"/>
    <s v="TRK84088900"/>
    <n v="3"/>
    <s v="No Coupon"/>
    <x v="3"/>
    <n v="1842.45"/>
    <x v="0"/>
  </r>
  <r>
    <s v="ORD200700"/>
    <d v="2024-09-25T00:00:00"/>
    <s v="C40201"/>
    <s v="Laptop"/>
    <n v="2"/>
    <n v="92.91"/>
    <s v="555 Main St"/>
    <s v="Cash"/>
    <s v="Returned"/>
    <s v="TRK30198779"/>
    <n v="3"/>
    <s v="WINTER15"/>
    <x v="0"/>
    <n v="185.82"/>
    <x v="1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x v="2"/>
    <n v="276.66000000000003"/>
    <x v="1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o Coupon"/>
    <x v="2"/>
    <n v="1687.65"/>
    <x v="1"/>
  </r>
  <r>
    <s v="ORD200703"/>
    <d v="2023-03-22T00:00:00"/>
    <s v="C89336"/>
    <s v="Desk"/>
    <n v="1"/>
    <n v="92.79"/>
    <s v="799 Main St"/>
    <s v="Cash"/>
    <s v="Pending"/>
    <s v="TRK47665103"/>
    <n v="3"/>
    <s v="WINTER15"/>
    <x v="2"/>
    <n v="92.79"/>
    <x v="0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x v="4"/>
    <n v="121.08"/>
    <x v="0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x v="0"/>
    <n v="98.16"/>
    <x v="2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x v="3"/>
    <n v="1140.45"/>
    <x v="2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x v="3"/>
    <n v="2600.16"/>
    <x v="1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x v="0"/>
    <n v="665.11"/>
    <x v="2"/>
  </r>
  <r>
    <s v="ORD200709"/>
    <d v="2024-12-07T00:00:00"/>
    <s v="C17132"/>
    <s v="Desk"/>
    <n v="1"/>
    <n v="386.03"/>
    <s v="855 Main St"/>
    <s v="Online"/>
    <s v="Pending"/>
    <s v="TRK37504692"/>
    <n v="4"/>
    <s v="FREESHIP"/>
    <x v="4"/>
    <n v="386.03"/>
    <x v="1"/>
  </r>
  <r>
    <s v="ORD200710"/>
    <d v="2024-07-22T00:00:00"/>
    <s v="C48790"/>
    <s v="Laptop"/>
    <n v="5"/>
    <n v="21.54"/>
    <s v="113 Main St"/>
    <s v="Gift Card"/>
    <s v="Returned"/>
    <s v="TRK19086608"/>
    <n v="10"/>
    <s v="No Coupon"/>
    <x v="4"/>
    <n v="107.7"/>
    <x v="1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x v="4"/>
    <n v="951.56"/>
    <x v="1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x v="2"/>
    <n v="136.80000000000001"/>
    <x v="1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x v="3"/>
    <n v="2129.96"/>
    <x v="2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x v="3"/>
    <n v="51.73"/>
    <x v="0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x v="2"/>
    <n v="1960.89"/>
    <x v="1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x v="4"/>
    <n v="1362.87"/>
    <x v="1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x v="2"/>
    <n v="366.33"/>
    <x v="0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x v="4"/>
    <n v="258.95999999999998"/>
    <x v="0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x v="3"/>
    <n v="1362.12"/>
    <x v="1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x v="0"/>
    <n v="644.75"/>
    <x v="0"/>
  </r>
  <r>
    <s v="ORD200721"/>
    <d v="2024-03-18T00:00:00"/>
    <s v="C46557"/>
    <s v="Desk"/>
    <n v="2"/>
    <n v="118.59"/>
    <s v="890 Main St"/>
    <s v="Credit Card"/>
    <s v="Delivered"/>
    <s v="TRK56110689"/>
    <n v="2"/>
    <s v="No Coupon"/>
    <x v="2"/>
    <n v="237.18"/>
    <x v="1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x v="0"/>
    <n v="95.1"/>
    <x v="1"/>
  </r>
  <r>
    <s v="ORD200723"/>
    <d v="2023-12-09T00:00:00"/>
    <s v="C14455"/>
    <s v="Desk"/>
    <n v="3"/>
    <n v="54.95"/>
    <s v="385 Main St"/>
    <s v="Cash"/>
    <s v="Returned"/>
    <s v="TRK50933724"/>
    <n v="8"/>
    <s v="SAVE10"/>
    <x v="1"/>
    <n v="164.85"/>
    <x v="0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x v="1"/>
    <n v="410.91"/>
    <x v="1"/>
  </r>
  <r>
    <s v="ORD200725"/>
    <d v="2023-03-12T00:00:00"/>
    <s v="C95269"/>
    <s v="Chair"/>
    <n v="2"/>
    <n v="194.85"/>
    <s v="372 Main St"/>
    <s v="Gift Card"/>
    <s v="Returned"/>
    <s v="TRK45670926"/>
    <n v="5"/>
    <s v="No Coupon"/>
    <x v="1"/>
    <n v="389.7"/>
    <x v="0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x v="3"/>
    <n v="2332.08"/>
    <x v="1"/>
  </r>
  <r>
    <s v="ORD200727"/>
    <d v="2024-09-29T00:00:00"/>
    <s v="C29063"/>
    <s v="Chair"/>
    <n v="5"/>
    <n v="95.75"/>
    <s v="379 Main St"/>
    <s v="Online"/>
    <s v="Shipped"/>
    <s v="TRK92745947"/>
    <n v="8"/>
    <s v="SAVE10"/>
    <x v="0"/>
    <n v="478.75"/>
    <x v="1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x v="2"/>
    <n v="1303.04"/>
    <x v="1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x v="4"/>
    <n v="745.64"/>
    <x v="0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x v="2"/>
    <n v="474.6"/>
    <x v="2"/>
  </r>
  <r>
    <s v="ORD200731"/>
    <d v="2024-06-07T00:00:00"/>
    <s v="C71310"/>
    <s v="Printer"/>
    <n v="5"/>
    <n v="584.46"/>
    <s v="308 Main St"/>
    <s v="Credit Card"/>
    <s v="Returned"/>
    <s v="TRK48292586"/>
    <n v="8"/>
    <s v="No Coupon"/>
    <x v="2"/>
    <n v="2922.3"/>
    <x v="1"/>
  </r>
  <r>
    <s v="ORD200732"/>
    <d v="2025-03-07T00:00:00"/>
    <s v="C80987"/>
    <s v="Laptop"/>
    <n v="1"/>
    <n v="132.05000000000001"/>
    <s v="787 Main St"/>
    <s v="Online"/>
    <s v="Delivered"/>
    <s v="TRK42187776"/>
    <n v="2"/>
    <s v="No Coupon"/>
    <x v="4"/>
    <n v="132.05000000000001"/>
    <x v="2"/>
  </r>
  <r>
    <s v="ORD200733"/>
    <d v="2023-12-04T00:00:00"/>
    <s v="C90757"/>
    <s v="Tablet"/>
    <n v="4"/>
    <n v="494.84"/>
    <s v="694 Main St"/>
    <s v="Cash"/>
    <s v="Returned"/>
    <s v="TRK87991608"/>
    <n v="8"/>
    <s v="SAVE10"/>
    <x v="2"/>
    <n v="1979.36"/>
    <x v="0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x v="3"/>
    <n v="898.44"/>
    <x v="1"/>
  </r>
  <r>
    <s v="ORD200735"/>
    <d v="2024-06-28T00:00:00"/>
    <s v="C94508"/>
    <s v="Monitor"/>
    <n v="4"/>
    <n v="44.07"/>
    <s v="359 Main St"/>
    <s v="Debit Card"/>
    <s v="Pending"/>
    <s v="TRK13443264"/>
    <n v="6"/>
    <s v="No Coupon"/>
    <x v="2"/>
    <n v="176.28"/>
    <x v="1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x v="4"/>
    <n v="2092.65"/>
    <x v="1"/>
  </r>
  <r>
    <s v="ORD200737"/>
    <d v="2024-01-03T00:00:00"/>
    <s v="C91029"/>
    <s v="Phone"/>
    <n v="4"/>
    <n v="532.87"/>
    <s v="972 Main St"/>
    <s v="Cash"/>
    <s v="Pending"/>
    <s v="TRK25501930"/>
    <n v="9"/>
    <s v="FREESHIP"/>
    <x v="0"/>
    <n v="2131.48"/>
    <x v="1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x v="2"/>
    <n v="970.74"/>
    <x v="2"/>
  </r>
  <r>
    <s v="ORD200739"/>
    <d v="2024-06-13T00:00:00"/>
    <s v="C35123"/>
    <s v="Phone"/>
    <n v="4"/>
    <n v="386.73"/>
    <s v="513 Main St"/>
    <s v="Cash"/>
    <s v="Delivered"/>
    <s v="TRK58979275"/>
    <n v="4"/>
    <s v="SAVE10"/>
    <x v="3"/>
    <n v="1546.92"/>
    <x v="1"/>
  </r>
  <r>
    <s v="ORD200740"/>
    <d v="2024-07-20T00:00:00"/>
    <s v="C10892"/>
    <s v="Desk"/>
    <n v="2"/>
    <n v="377.47"/>
    <s v="433 Main St"/>
    <s v="Cash"/>
    <s v="Pending"/>
    <s v="TRK76154554"/>
    <n v="7"/>
    <s v="No Coupon"/>
    <x v="4"/>
    <n v="754.94"/>
    <x v="1"/>
  </r>
  <r>
    <s v="ORD200741"/>
    <d v="2025-01-23T00:00:00"/>
    <s v="C99683"/>
    <s v="Monitor"/>
    <n v="5"/>
    <n v="332.64"/>
    <s v="945 Main St"/>
    <s v="Gift Card"/>
    <s v="Delivered"/>
    <s v="TRK87305883"/>
    <n v="10"/>
    <s v="No Coupon"/>
    <x v="1"/>
    <n v="1663.2"/>
    <x v="2"/>
  </r>
  <r>
    <s v="ORD200742"/>
    <d v="2024-11-30T00:00:00"/>
    <s v="C41974"/>
    <s v="Laptop"/>
    <n v="3"/>
    <n v="699.93"/>
    <s v="726 Main St"/>
    <s v="Cash"/>
    <s v="Returned"/>
    <s v="TRK48051468"/>
    <n v="7"/>
    <s v="SAVE10"/>
    <x v="4"/>
    <n v="2099.79"/>
    <x v="1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x v="0"/>
    <n v="576.35"/>
    <x v="1"/>
  </r>
  <r>
    <s v="ORD200744"/>
    <d v="2024-06-12T00:00:00"/>
    <s v="C10642"/>
    <s v="Tablet"/>
    <n v="2"/>
    <n v="461.37"/>
    <s v="200 Main St"/>
    <s v="Cash"/>
    <s v="Delivered"/>
    <s v="TRK98725693"/>
    <n v="5"/>
    <s v="SAVE10"/>
    <x v="4"/>
    <n v="922.74"/>
    <x v="1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x v="2"/>
    <n v="445.2"/>
    <x v="0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x v="1"/>
    <n v="1985.67"/>
    <x v="2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x v="0"/>
    <n v="519.16"/>
    <x v="2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x v="1"/>
    <n v="212.43"/>
    <x v="1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x v="0"/>
    <n v="518.39"/>
    <x v="2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x v="2"/>
    <n v="581.64"/>
    <x v="0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x v="3"/>
    <n v="1199.72"/>
    <x v="0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x v="4"/>
    <n v="1717.48"/>
    <x v="1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x v="0"/>
    <n v="482.98"/>
    <x v="1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x v="2"/>
    <n v="904.1"/>
    <x v="2"/>
  </r>
  <r>
    <s v="ORD200755"/>
    <d v="2023-06-13T00:00:00"/>
    <s v="C54160"/>
    <s v="Desk"/>
    <n v="3"/>
    <n v="336.71"/>
    <s v="658 Main St"/>
    <s v="Credit Card"/>
    <s v="Pending"/>
    <s v="TRK60515972"/>
    <n v="4"/>
    <s v="No Coupon"/>
    <x v="2"/>
    <n v="1010.13"/>
    <x v="0"/>
  </r>
  <r>
    <s v="ORD200756"/>
    <d v="2024-06-27T00:00:00"/>
    <s v="C14080"/>
    <s v="Phone"/>
    <n v="1"/>
    <n v="283.69"/>
    <s v="202 Main St"/>
    <s v="Gift Card"/>
    <s v="Shipped"/>
    <s v="TRK93163682"/>
    <n v="6"/>
    <s v="No Coupon"/>
    <x v="4"/>
    <n v="283.69"/>
    <x v="1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x v="4"/>
    <n v="157.72"/>
    <x v="1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x v="3"/>
    <n v="1874.52"/>
    <x v="0"/>
  </r>
  <r>
    <s v="ORD200759"/>
    <d v="2023-07-24T00:00:00"/>
    <s v="C96283"/>
    <s v="Desk"/>
    <n v="3"/>
    <n v="308.01"/>
    <s v="366 Main St"/>
    <s v="Cash"/>
    <s v="Pending"/>
    <s v="TRK91784124"/>
    <n v="3"/>
    <s v="FREESHIP"/>
    <x v="3"/>
    <n v="924.03"/>
    <x v="0"/>
  </r>
  <r>
    <s v="ORD200760"/>
    <d v="2025-02-18T00:00:00"/>
    <s v="C96636"/>
    <s v="Desk"/>
    <n v="1"/>
    <n v="39.56"/>
    <s v="283 Main St"/>
    <s v="Debit Card"/>
    <s v="Cancelled"/>
    <s v="TRK73324346"/>
    <n v="5"/>
    <s v="No Coupon"/>
    <x v="4"/>
    <n v="39.56"/>
    <x v="2"/>
  </r>
  <r>
    <s v="ORD200761"/>
    <d v="2023-06-02T00:00:00"/>
    <s v="C37235"/>
    <s v="Desk"/>
    <n v="4"/>
    <n v="37.76"/>
    <s v="217 Main St"/>
    <s v="Debit Card"/>
    <s v="Delivered"/>
    <s v="TRK67789367"/>
    <n v="7"/>
    <s v="No Coupon"/>
    <x v="4"/>
    <n v="151.04"/>
    <x v="0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x v="2"/>
    <n v="230.88"/>
    <x v="1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x v="2"/>
    <n v="569.96"/>
    <x v="0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x v="2"/>
    <n v="3137.15"/>
    <x v="1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x v="4"/>
    <n v="1069.82"/>
    <x v="0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x v="1"/>
    <n v="557.76"/>
    <x v="0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o Coupon"/>
    <x v="0"/>
    <n v="646.44000000000005"/>
    <x v="2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x v="2"/>
    <n v="3267.3"/>
    <x v="0"/>
  </r>
  <r>
    <s v="ORD200769"/>
    <d v="2023-07-06T00:00:00"/>
    <s v="C13366"/>
    <s v="Printer"/>
    <n v="4"/>
    <n v="678.55"/>
    <s v="568 Main St"/>
    <s v="Cash"/>
    <s v="Delivered"/>
    <s v="TRK98691410"/>
    <n v="5"/>
    <s v="No Coupon"/>
    <x v="2"/>
    <n v="2714.2"/>
    <x v="0"/>
  </r>
  <r>
    <s v="ORD200770"/>
    <d v="2024-02-11T00:00:00"/>
    <s v="C72166"/>
    <s v="Desk"/>
    <n v="1"/>
    <n v="314.38"/>
    <s v="227 Main St"/>
    <s v="Online"/>
    <s v="Returned"/>
    <s v="TRK67733444"/>
    <n v="6"/>
    <s v="No Coupon"/>
    <x v="4"/>
    <n v="314.38"/>
    <x v="1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x v="4"/>
    <n v="2077.3200000000002"/>
    <x v="1"/>
  </r>
  <r>
    <s v="ORD200772"/>
    <d v="2024-07-28T00:00:00"/>
    <s v="C33802"/>
    <s v="Monitor"/>
    <n v="1"/>
    <n v="604.87"/>
    <s v="461 Main St"/>
    <s v="Online"/>
    <s v="Delivered"/>
    <s v="TRK25799478"/>
    <n v="4"/>
    <s v="No Coupon"/>
    <x v="0"/>
    <n v="604.87"/>
    <x v="1"/>
  </r>
  <r>
    <s v="ORD200773"/>
    <d v="2025-06-28T00:00:00"/>
    <s v="C99205"/>
    <s v="Phone"/>
    <n v="2"/>
    <n v="512.33000000000004"/>
    <s v="415 Main St"/>
    <s v="Cash"/>
    <s v="Cancelled"/>
    <s v="TRK48904015"/>
    <n v="7"/>
    <s v="No Coupon"/>
    <x v="3"/>
    <n v="1024.6600000000001"/>
    <x v="2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x v="0"/>
    <n v="61.62"/>
    <x v="2"/>
  </r>
  <r>
    <s v="ORD200775"/>
    <d v="2023-03-04T00:00:00"/>
    <s v="C73941"/>
    <s v="Phone"/>
    <n v="2"/>
    <n v="625.22"/>
    <s v="569 Main St"/>
    <s v="Online"/>
    <s v="Cancelled"/>
    <s v="TRK22051900"/>
    <n v="5"/>
    <s v="No Coupon"/>
    <x v="4"/>
    <n v="1250.44"/>
    <x v="0"/>
  </r>
  <r>
    <s v="ORD200776"/>
    <d v="2023-08-21T00:00:00"/>
    <s v="C69168"/>
    <s v="Tablet"/>
    <n v="1"/>
    <n v="21.19"/>
    <s v="482 Main St"/>
    <s v="Cash"/>
    <s v="Returned"/>
    <s v="TRK10446197"/>
    <n v="5"/>
    <s v="WINTER15"/>
    <x v="4"/>
    <n v="21.19"/>
    <x v="0"/>
  </r>
  <r>
    <s v="ORD200777"/>
    <d v="2025-03-21T00:00:00"/>
    <s v="C66116"/>
    <s v="Chair"/>
    <n v="5"/>
    <n v="64.489999999999995"/>
    <s v="633 Main St"/>
    <s v="Online"/>
    <s v="Cancelled"/>
    <s v="TRK41967983"/>
    <n v="7"/>
    <s v="No Coupon"/>
    <x v="3"/>
    <n v="322.45"/>
    <x v="2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x v="4"/>
    <n v="987.4"/>
    <x v="0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x v="2"/>
    <n v="1766.22"/>
    <x v="0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x v="4"/>
    <n v="737.92"/>
    <x v="1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x v="1"/>
    <n v="2621.3000000000002"/>
    <x v="1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x v="1"/>
    <n v="987.26"/>
    <x v="1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x v="3"/>
    <n v="438.34"/>
    <x v="2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x v="1"/>
    <n v="325.81"/>
    <x v="2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x v="0"/>
    <n v="176.1"/>
    <x v="0"/>
  </r>
  <r>
    <s v="ORD200786"/>
    <d v="2023-08-23T00:00:00"/>
    <s v="C39130"/>
    <s v="Chair"/>
    <n v="5"/>
    <n v="45.31"/>
    <s v="774 Main St"/>
    <s v="Online"/>
    <s v="Cancelled"/>
    <s v="TRK99583414"/>
    <n v="8"/>
    <s v="No Coupon"/>
    <x v="1"/>
    <n v="226.55"/>
    <x v="0"/>
  </r>
  <r>
    <s v="ORD200787"/>
    <d v="2024-03-17T00:00:00"/>
    <s v="C18167"/>
    <s v="Desk"/>
    <n v="4"/>
    <n v="221.96"/>
    <s v="193 Main St"/>
    <s v="Cash"/>
    <s v="Delivered"/>
    <s v="TRK36841089"/>
    <n v="7"/>
    <s v="No Coupon"/>
    <x v="4"/>
    <n v="887.84"/>
    <x v="1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x v="0"/>
    <n v="1202.8599999999999"/>
    <x v="0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x v="2"/>
    <n v="3456.4"/>
    <x v="0"/>
  </r>
  <r>
    <s v="ORD200790"/>
    <d v="2024-09-14T00:00:00"/>
    <s v="C38928"/>
    <s v="Laptop"/>
    <n v="4"/>
    <n v="417.89"/>
    <s v="302 Main St"/>
    <s v="Gift Card"/>
    <s v="Pending"/>
    <s v="TRK96636009"/>
    <n v="4"/>
    <s v="No Coupon"/>
    <x v="4"/>
    <n v="1671.56"/>
    <x v="1"/>
  </r>
  <r>
    <s v="ORD200791"/>
    <d v="2024-01-13T00:00:00"/>
    <s v="C49710"/>
    <s v="Chair"/>
    <n v="4"/>
    <n v="409.28"/>
    <s v="956 Main St"/>
    <s v="Cash"/>
    <s v="Pending"/>
    <s v="TRK92591237"/>
    <n v="8"/>
    <s v="No Coupon"/>
    <x v="2"/>
    <n v="1637.12"/>
    <x v="1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x v="3"/>
    <n v="712.7"/>
    <x v="0"/>
  </r>
  <r>
    <s v="ORD200793"/>
    <d v="2024-04-15T00:00:00"/>
    <s v="C91255"/>
    <s v="Chair"/>
    <n v="5"/>
    <n v="170.22"/>
    <s v="769 Main St"/>
    <s v="Debit Card"/>
    <s v="Delivered"/>
    <s v="TRK69599961"/>
    <n v="8"/>
    <s v="No Coupon"/>
    <x v="1"/>
    <n v="851.1"/>
    <x v="1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x v="0"/>
    <n v="1539.4"/>
    <x v="0"/>
  </r>
  <r>
    <s v="ORD200795"/>
    <d v="2024-11-20T00:00:00"/>
    <s v="C95667"/>
    <s v="Laptop"/>
    <n v="4"/>
    <n v="115.77"/>
    <s v="586 Main St"/>
    <s v="Online"/>
    <s v="Pending"/>
    <s v="TRK41266666"/>
    <n v="7"/>
    <s v="SAVE10"/>
    <x v="0"/>
    <n v="463.08"/>
    <x v="1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x v="3"/>
    <n v="1738.65"/>
    <x v="2"/>
  </r>
  <r>
    <s v="ORD200797"/>
    <d v="2023-02-27T00:00:00"/>
    <s v="C36825"/>
    <s v="Laptop"/>
    <n v="2"/>
    <n v="438.76"/>
    <s v="426 Main St"/>
    <s v="Debit Card"/>
    <s v="Returned"/>
    <s v="TRK72557318"/>
    <n v="2"/>
    <s v="No Coupon"/>
    <x v="3"/>
    <n v="877.52"/>
    <x v="0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x v="2"/>
    <n v="2441.75"/>
    <x v="2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x v="2"/>
    <n v="1314.24"/>
    <x v="0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x v="3"/>
    <n v="68.39"/>
    <x v="2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x v="3"/>
    <n v="2382.48"/>
    <x v="0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x v="2"/>
    <n v="3223.2"/>
    <x v="1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x v="1"/>
    <n v="1989.05"/>
    <x v="0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x v="2"/>
    <n v="709.5"/>
    <x v="1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x v="2"/>
    <n v="2360.0500000000002"/>
    <x v="1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x v="0"/>
    <n v="1268.75"/>
    <x v="0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x v="4"/>
    <n v="2028.63"/>
    <x v="1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o Coupon"/>
    <x v="4"/>
    <n v="402.15"/>
    <x v="1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x v="0"/>
    <n v="1087.1500000000001"/>
    <x v="1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o Coupon"/>
    <x v="1"/>
    <n v="553.55999999999995"/>
    <x v="0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x v="2"/>
    <n v="57.1"/>
    <x v="0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x v="4"/>
    <n v="510.52"/>
    <x v="1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x v="2"/>
    <n v="1462.7"/>
    <x v="2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x v="0"/>
    <n v="590.04"/>
    <x v="1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x v="0"/>
    <n v="1709.52"/>
    <x v="1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x v="1"/>
    <n v="2873.95"/>
    <x v="1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x v="2"/>
    <n v="2392.7600000000002"/>
    <x v="0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x v="1"/>
    <n v="1563.36"/>
    <x v="0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x v="4"/>
    <n v="796.9"/>
    <x v="1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x v="2"/>
    <n v="3119.05"/>
    <x v="0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x v="3"/>
    <n v="697.96"/>
    <x v="1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x v="4"/>
    <n v="479.56"/>
    <x v="2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x v="0"/>
    <n v="2612.52"/>
    <x v="1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x v="3"/>
    <n v="1443.3"/>
    <x v="0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x v="0"/>
    <n v="1358.45"/>
    <x v="2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x v="2"/>
    <n v="1391.43"/>
    <x v="2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x v="0"/>
    <n v="1279.76"/>
    <x v="0"/>
  </r>
  <r>
    <s v="ORD200828"/>
    <d v="2024-07-24T00:00:00"/>
    <s v="C86266"/>
    <s v="Chair"/>
    <n v="4"/>
    <n v="404.58"/>
    <s v="510 Main St"/>
    <s v="Cash"/>
    <s v="Shipped"/>
    <s v="TRK64576020"/>
    <n v="5"/>
    <s v="FREESHIP"/>
    <x v="0"/>
    <n v="1618.32"/>
    <x v="1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x v="0"/>
    <n v="76.930000000000007"/>
    <x v="0"/>
  </r>
  <r>
    <s v="ORD200830"/>
    <d v="2024-12-11T00:00:00"/>
    <s v="C90310"/>
    <s v="Tablet"/>
    <n v="4"/>
    <n v="190.64"/>
    <s v="853 Main St"/>
    <s v="Cash"/>
    <s v="Delivered"/>
    <s v="TRK70028457"/>
    <n v="5"/>
    <s v="SAVE10"/>
    <x v="2"/>
    <n v="762.56"/>
    <x v="1"/>
  </r>
  <r>
    <s v="ORD200831"/>
    <d v="2023-12-18T00:00:00"/>
    <s v="C20124"/>
    <s v="Printer"/>
    <n v="2"/>
    <n v="88.73"/>
    <s v="140 Main St"/>
    <s v="Online"/>
    <s v="Pending"/>
    <s v="TRK61346824"/>
    <n v="5"/>
    <s v="No Coupon"/>
    <x v="4"/>
    <n v="177.46"/>
    <x v="0"/>
  </r>
  <r>
    <s v="ORD200832"/>
    <d v="2024-03-12T00:00:00"/>
    <s v="C63372"/>
    <s v="Chair"/>
    <n v="5"/>
    <n v="485.71"/>
    <s v="903 Main St"/>
    <s v="Online"/>
    <s v="Pending"/>
    <s v="TRK14661811"/>
    <n v="10"/>
    <s v="SAVE10"/>
    <x v="1"/>
    <n v="2428.5500000000002"/>
    <x v="1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x v="1"/>
    <n v="391.45"/>
    <x v="2"/>
  </r>
  <r>
    <s v="ORD200834"/>
    <d v="2024-04-11T00:00:00"/>
    <s v="C98483"/>
    <s v="Printer"/>
    <n v="5"/>
    <n v="22.14"/>
    <s v="456 Main St"/>
    <s v="Cash"/>
    <s v="Returned"/>
    <s v="TRK22084320"/>
    <n v="10"/>
    <s v="No Coupon"/>
    <x v="0"/>
    <n v="110.7"/>
    <x v="1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x v="4"/>
    <n v="679.65"/>
    <x v="1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x v="4"/>
    <n v="178.44"/>
    <x v="0"/>
  </r>
  <r>
    <s v="ORD200837"/>
    <d v="2025-06-14T00:00:00"/>
    <s v="C88029"/>
    <s v="Chair"/>
    <n v="5"/>
    <n v="655.55"/>
    <s v="282 Main St"/>
    <s v="Online"/>
    <s v="Delivered"/>
    <s v="TRK59701278"/>
    <n v="5"/>
    <s v="No Coupon"/>
    <x v="2"/>
    <n v="3277.75"/>
    <x v="2"/>
  </r>
  <r>
    <s v="ORD200838"/>
    <d v="2024-04-11T00:00:00"/>
    <s v="C57798"/>
    <s v="Desk"/>
    <n v="4"/>
    <n v="577.08000000000004"/>
    <s v="384 Main St"/>
    <s v="Online"/>
    <s v="Pending"/>
    <s v="TRK68797566"/>
    <n v="8"/>
    <s v="No Coupon"/>
    <x v="3"/>
    <n v="2308.3200000000002"/>
    <x v="1"/>
  </r>
  <r>
    <s v="ORD200839"/>
    <d v="2023-08-24T00:00:00"/>
    <s v="C82858"/>
    <s v="Chair"/>
    <n v="3"/>
    <n v="197.97"/>
    <s v="551 Main St"/>
    <s v="Online"/>
    <s v="Cancelled"/>
    <s v="TRK90618490"/>
    <n v="5"/>
    <s v="No Coupon"/>
    <x v="4"/>
    <n v="593.91"/>
    <x v="0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x v="1"/>
    <n v="1235.8499999999999"/>
    <x v="1"/>
  </r>
  <r>
    <s v="ORD200841"/>
    <d v="2024-09-19T00:00:00"/>
    <s v="C94658"/>
    <s v="Printer"/>
    <n v="2"/>
    <n v="443.22"/>
    <s v="742 Main St"/>
    <s v="Credit Card"/>
    <s v="Delivered"/>
    <s v="TRK51732528"/>
    <n v="5"/>
    <s v="No Coupon"/>
    <x v="3"/>
    <n v="886.44"/>
    <x v="1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x v="1"/>
    <n v="1092.42"/>
    <x v="2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x v="0"/>
    <n v="1290.18"/>
    <x v="2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x v="3"/>
    <n v="320.92"/>
    <x v="1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x v="4"/>
    <n v="322.08"/>
    <x v="0"/>
  </r>
  <r>
    <s v="ORD200846"/>
    <d v="2024-07-04T00:00:00"/>
    <s v="C24765"/>
    <s v="Desk"/>
    <n v="2"/>
    <n v="359.86"/>
    <s v="646 Main St"/>
    <s v="Debit Card"/>
    <s v="Cancelled"/>
    <s v="TRK43977698"/>
    <n v="4"/>
    <s v="No Coupon"/>
    <x v="1"/>
    <n v="719.72"/>
    <x v="1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x v="2"/>
    <n v="1736.92"/>
    <x v="1"/>
  </r>
  <r>
    <s v="ORD200848"/>
    <d v="2023-01-01T00:00:00"/>
    <s v="C54675"/>
    <s v="Chair"/>
    <n v="2"/>
    <n v="645.85"/>
    <s v="634 Main St"/>
    <s v="Online"/>
    <s v="Shipped"/>
    <s v="TRK18049633"/>
    <n v="5"/>
    <s v="No Coupon"/>
    <x v="1"/>
    <n v="1291.7"/>
    <x v="0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x v="1"/>
    <n v="857.4"/>
    <x v="2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x v="0"/>
    <n v="1915.5"/>
    <x v="2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x v="2"/>
    <n v="365.57"/>
    <x v="0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x v="4"/>
    <n v="1704.15"/>
    <x v="1"/>
  </r>
  <r>
    <s v="ORD200853"/>
    <d v="2023-10-16T00:00:00"/>
    <s v="C10002"/>
    <s v="Printer"/>
    <n v="3"/>
    <n v="490.01"/>
    <s v="894 Main St"/>
    <s v="Cash"/>
    <s v="Returned"/>
    <s v="TRK94641152"/>
    <n v="4"/>
    <s v="SAVE10"/>
    <x v="3"/>
    <n v="1470.03"/>
    <x v="0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x v="1"/>
    <n v="1117.8"/>
    <x v="2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x v="2"/>
    <n v="1203.05"/>
    <x v="0"/>
  </r>
  <r>
    <s v="ORD200856"/>
    <d v="2024-06-03T00:00:00"/>
    <s v="C94698"/>
    <s v="Phone"/>
    <n v="1"/>
    <n v="586.62"/>
    <s v="871 Main St"/>
    <s v="Debit Card"/>
    <s v="Shipped"/>
    <s v="TRK95768773"/>
    <n v="5"/>
    <s v="No Coupon"/>
    <x v="3"/>
    <n v="586.62"/>
    <x v="1"/>
  </r>
  <r>
    <s v="ORD200857"/>
    <d v="2024-03-10T00:00:00"/>
    <s v="C56506"/>
    <s v="Phone"/>
    <n v="3"/>
    <n v="257.83999999999997"/>
    <s v="185 Main St"/>
    <s v="Online"/>
    <s v="Delivered"/>
    <s v="TRK86808324"/>
    <n v="4"/>
    <s v="No Coupon"/>
    <x v="0"/>
    <n v="773.52"/>
    <x v="1"/>
  </r>
  <r>
    <s v="ORD200858"/>
    <d v="2023-08-20T00:00:00"/>
    <s v="C22167"/>
    <s v="Tablet"/>
    <n v="5"/>
    <n v="435.66"/>
    <s v="891 Main St"/>
    <s v="Online"/>
    <s v="Pending"/>
    <s v="TRK70269748"/>
    <n v="9"/>
    <s v="No Coupon"/>
    <x v="3"/>
    <n v="2178.3000000000002"/>
    <x v="0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x v="1"/>
    <n v="1306.6500000000001"/>
    <x v="1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x v="4"/>
    <n v="422.54"/>
    <x v="1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x v="4"/>
    <n v="1652.25"/>
    <x v="0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x v="1"/>
    <n v="362.46"/>
    <x v="0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x v="1"/>
    <n v="14.06"/>
    <x v="1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x v="3"/>
    <n v="491.11"/>
    <x v="0"/>
  </r>
  <r>
    <s v="ORD200865"/>
    <d v="2023-04-30T00:00:00"/>
    <s v="C72241"/>
    <s v="Monitor"/>
    <n v="4"/>
    <n v="677.37"/>
    <s v="156 Main St"/>
    <s v="Cash"/>
    <s v="Pending"/>
    <s v="TRK76270481"/>
    <n v="8"/>
    <s v="SAVE10"/>
    <x v="4"/>
    <n v="2709.48"/>
    <x v="0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x v="2"/>
    <n v="946.25"/>
    <x v="1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x v="3"/>
    <n v="570.32000000000005"/>
    <x v="1"/>
  </r>
  <r>
    <s v="ORD200868"/>
    <d v="2024-06-29T00:00:00"/>
    <s v="C70452"/>
    <s v="Monitor"/>
    <n v="4"/>
    <n v="316.32"/>
    <s v="309 Main St"/>
    <s v="Debit Card"/>
    <s v="Delivered"/>
    <s v="TRK42985882"/>
    <n v="7"/>
    <s v="No Coupon"/>
    <x v="3"/>
    <n v="1265.28"/>
    <x v="1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x v="4"/>
    <n v="1067.9000000000001"/>
    <x v="1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x v="4"/>
    <n v="1880.36"/>
    <x v="2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x v="2"/>
    <n v="972.90000000000009"/>
    <x v="1"/>
  </r>
  <r>
    <s v="ORD200872"/>
    <d v="2023-07-10T00:00:00"/>
    <s v="C59169"/>
    <s v="Chair"/>
    <n v="4"/>
    <n v="629.34"/>
    <s v="172 Main St"/>
    <s v="Cash"/>
    <s v="Shipped"/>
    <s v="TRK90883858"/>
    <n v="7"/>
    <s v="No Coupon"/>
    <x v="2"/>
    <n v="2517.36"/>
    <x v="0"/>
  </r>
  <r>
    <s v="ORD200873"/>
    <d v="2024-05-12T00:00:00"/>
    <s v="C53488"/>
    <s v="Desk"/>
    <n v="3"/>
    <n v="136.84"/>
    <s v="448 Main St"/>
    <s v="Cash"/>
    <s v="Delivered"/>
    <s v="TRK27365050"/>
    <n v="3"/>
    <s v="SAVE10"/>
    <x v="3"/>
    <n v="410.52"/>
    <x v="1"/>
  </r>
  <r>
    <s v="ORD200874"/>
    <d v="2023-10-31T00:00:00"/>
    <s v="C92180"/>
    <s v="Chair"/>
    <n v="2"/>
    <n v="488.9"/>
    <s v="632 Main St"/>
    <s v="Cash"/>
    <s v="Delivered"/>
    <s v="TRK93315929"/>
    <n v="7"/>
    <s v="FREESHIP"/>
    <x v="3"/>
    <n v="977.8"/>
    <x v="0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x v="1"/>
    <n v="666.94999999999993"/>
    <x v="0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x v="4"/>
    <n v="3044.55"/>
    <x v="1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x v="2"/>
    <n v="524.05999999999995"/>
    <x v="1"/>
  </r>
  <r>
    <s v="ORD200878"/>
    <d v="2023-06-01T00:00:00"/>
    <s v="C73873"/>
    <s v="Desk"/>
    <n v="2"/>
    <n v="330.69"/>
    <s v="393 Main St"/>
    <s v="Online"/>
    <s v="Cancelled"/>
    <s v="TRK56423132"/>
    <n v="5"/>
    <s v="SAVE10"/>
    <x v="4"/>
    <n v="661.38"/>
    <x v="0"/>
  </r>
  <r>
    <s v="ORD200879"/>
    <d v="2025-04-08T00:00:00"/>
    <s v="C56622"/>
    <s v="Phone"/>
    <n v="2"/>
    <n v="547.66999999999996"/>
    <s v="932 Main St"/>
    <s v="Gift Card"/>
    <s v="Shipped"/>
    <s v="TRK86373987"/>
    <n v="3"/>
    <s v="No Coupon"/>
    <x v="0"/>
    <n v="1095.3399999999999"/>
    <x v="2"/>
  </r>
  <r>
    <s v="ORD200880"/>
    <d v="2025-03-12T00:00:00"/>
    <s v="C85074"/>
    <s v="Laptop"/>
    <n v="4"/>
    <n v="233.7"/>
    <s v="506 Main St"/>
    <s v="Online"/>
    <s v="Shipped"/>
    <s v="TRK63133878"/>
    <n v="8"/>
    <s v="SAVE10"/>
    <x v="3"/>
    <n v="934.8"/>
    <x v="2"/>
  </r>
  <r>
    <s v="ORD200881"/>
    <d v="2023-01-03T00:00:00"/>
    <s v="C59579"/>
    <s v="Tablet"/>
    <n v="2"/>
    <n v="448.85"/>
    <s v="386 Main St"/>
    <s v="Credit Card"/>
    <s v="Pending"/>
    <s v="TRK48000034"/>
    <n v="6"/>
    <s v="No Coupon"/>
    <x v="0"/>
    <n v="897.7"/>
    <x v="0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x v="1"/>
    <n v="548.24"/>
    <x v="2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x v="3"/>
    <n v="2807.4"/>
    <x v="2"/>
  </r>
  <r>
    <s v="ORD200884"/>
    <d v="2024-05-15T00:00:00"/>
    <s v="C71471"/>
    <s v="Chair"/>
    <n v="1"/>
    <n v="595.54"/>
    <s v="817 Main St"/>
    <s v="Gift Card"/>
    <s v="Shipped"/>
    <s v="TRK52137079"/>
    <n v="4"/>
    <s v="No Coupon"/>
    <x v="0"/>
    <n v="595.54"/>
    <x v="1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x v="4"/>
    <n v="2062.36"/>
    <x v="1"/>
  </r>
  <r>
    <s v="ORD200886"/>
    <d v="2023-10-25T00:00:00"/>
    <s v="C29620"/>
    <s v="Phone"/>
    <n v="1"/>
    <n v="460.13"/>
    <s v="792 Main St"/>
    <s v="Credit Card"/>
    <s v="Returned"/>
    <s v="TRK22046456"/>
    <n v="1"/>
    <s v="No Coupon"/>
    <x v="4"/>
    <n v="460.13"/>
    <x v="0"/>
  </r>
  <r>
    <s v="ORD200887"/>
    <d v="2024-12-19T00:00:00"/>
    <s v="C67932"/>
    <s v="Chair"/>
    <n v="3"/>
    <n v="171.66"/>
    <s v="857 Main St"/>
    <s v="Debit Card"/>
    <s v="Delivered"/>
    <s v="TRK88547534"/>
    <n v="7"/>
    <s v="No Coupon"/>
    <x v="4"/>
    <n v="514.98"/>
    <x v="1"/>
  </r>
  <r>
    <s v="ORD200888"/>
    <d v="2024-07-23T00:00:00"/>
    <s v="C14427"/>
    <s v="Laptop"/>
    <n v="2"/>
    <n v="266.95"/>
    <s v="833 Main St"/>
    <s v="Credit Card"/>
    <s v="Pending"/>
    <s v="TRK58024529"/>
    <n v="3"/>
    <s v="No Coupon"/>
    <x v="0"/>
    <n v="533.9"/>
    <x v="1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x v="2"/>
    <n v="3253.6"/>
    <x v="1"/>
  </r>
  <r>
    <s v="ORD200890"/>
    <d v="2023-08-11T00:00:00"/>
    <s v="C51921"/>
    <s v="Laptop"/>
    <n v="3"/>
    <n v="439.53"/>
    <s v="943 Main St"/>
    <s v="Debit Card"/>
    <s v="Pending"/>
    <s v="TRK85741716"/>
    <n v="5"/>
    <s v="No Coupon"/>
    <x v="4"/>
    <n v="1318.59"/>
    <x v="0"/>
  </r>
  <r>
    <s v="ORD200891"/>
    <d v="2023-11-11T00:00:00"/>
    <s v="C36534"/>
    <s v="Monitor"/>
    <n v="3"/>
    <n v="654.54"/>
    <s v="918 Main St"/>
    <s v="Cash"/>
    <s v="Returned"/>
    <s v="TRK38952138"/>
    <n v="7"/>
    <s v="SAVE10"/>
    <x v="1"/>
    <n v="1963.62"/>
    <x v="0"/>
  </r>
  <r>
    <s v="ORD200892"/>
    <d v="2024-06-04T00:00:00"/>
    <s v="C72043"/>
    <s v="Desk"/>
    <n v="1"/>
    <n v="394.53"/>
    <s v="480 Main St"/>
    <s v="Cash"/>
    <s v="Shipped"/>
    <s v="TRK40896408"/>
    <n v="2"/>
    <s v="FREESHIP"/>
    <x v="1"/>
    <n v="394.53"/>
    <x v="1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x v="1"/>
    <n v="678.01"/>
    <x v="0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x v="0"/>
    <n v="1725.03"/>
    <x v="0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x v="3"/>
    <n v="463.92"/>
    <x v="0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x v="4"/>
    <n v="441.87"/>
    <x v="1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x v="0"/>
    <n v="1925.92"/>
    <x v="1"/>
  </r>
  <r>
    <s v="ORD200898"/>
    <d v="2025-03-05T00:00:00"/>
    <s v="C44619"/>
    <s v="Monitor"/>
    <n v="3"/>
    <n v="158.37"/>
    <s v="742 Main St"/>
    <s v="Cash"/>
    <s v="Shipped"/>
    <s v="TRK66662528"/>
    <n v="6"/>
    <s v="No Coupon"/>
    <x v="1"/>
    <n v="475.11"/>
    <x v="2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x v="0"/>
    <n v="646.74"/>
    <x v="2"/>
  </r>
  <r>
    <s v="ORD200900"/>
    <d v="2025-02-07T00:00:00"/>
    <s v="C52342"/>
    <s v="Laptop"/>
    <n v="5"/>
    <n v="73.83"/>
    <s v="991 Main St"/>
    <s v="Debit Card"/>
    <s v="Pending"/>
    <s v="TRK67342586"/>
    <n v="9"/>
    <s v="No Coupon"/>
    <x v="0"/>
    <n v="369.15"/>
    <x v="2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x v="1"/>
    <n v="458.63"/>
    <x v="1"/>
  </r>
  <r>
    <s v="ORD200902"/>
    <d v="2024-07-13T00:00:00"/>
    <s v="C61162"/>
    <s v="Monitor"/>
    <n v="4"/>
    <n v="180.25"/>
    <s v="813 Main St"/>
    <s v="Debit Card"/>
    <s v="Cancelled"/>
    <s v="TRK76712124"/>
    <n v="7"/>
    <s v="No Coupon"/>
    <x v="3"/>
    <n v="721"/>
    <x v="1"/>
  </r>
  <r>
    <s v="ORD200903"/>
    <d v="2023-05-17T00:00:00"/>
    <s v="C80868"/>
    <s v="Monitor"/>
    <n v="3"/>
    <n v="473.49"/>
    <s v="205 Main St"/>
    <s v="Credit Card"/>
    <s v="Pending"/>
    <s v="TRK56186636"/>
    <n v="7"/>
    <s v="No Coupon"/>
    <x v="2"/>
    <n v="1420.47"/>
    <x v="0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x v="1"/>
    <n v="949.72"/>
    <x v="2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x v="3"/>
    <n v="442.39"/>
    <x v="0"/>
  </r>
  <r>
    <s v="ORD200906"/>
    <d v="2024-09-03T00:00:00"/>
    <s v="C49938"/>
    <s v="Monitor"/>
    <n v="1"/>
    <n v="62.12"/>
    <s v="141 Main St"/>
    <s v="Cash"/>
    <s v="Returned"/>
    <s v="TRK80175572"/>
    <n v="2"/>
    <s v="No Coupon"/>
    <x v="2"/>
    <n v="62.12"/>
    <x v="1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x v="1"/>
    <n v="1491.95"/>
    <x v="1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x v="4"/>
    <n v="1395.86"/>
    <x v="2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x v="0"/>
    <n v="583.70000000000005"/>
    <x v="1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x v="0"/>
    <n v="926.94"/>
    <x v="1"/>
  </r>
  <r>
    <s v="ORD200911"/>
    <d v="2024-08-13T00:00:00"/>
    <s v="C80872"/>
    <s v="Desk"/>
    <n v="5"/>
    <n v="396.86"/>
    <s v="593 Main St"/>
    <s v="Cash"/>
    <s v="Cancelled"/>
    <s v="TRK43967487"/>
    <n v="9"/>
    <s v="SAVE10"/>
    <x v="0"/>
    <n v="1984.3"/>
    <x v="1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x v="2"/>
    <n v="279.38"/>
    <x v="1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x v="3"/>
    <n v="2379.75"/>
    <x v="0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x v="3"/>
    <n v="626.6"/>
    <x v="2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x v="1"/>
    <n v="2011.96"/>
    <x v="1"/>
  </r>
  <r>
    <s v="ORD200916"/>
    <d v="2024-06-21T00:00:00"/>
    <s v="C35669"/>
    <s v="Printer"/>
    <n v="5"/>
    <n v="578.83000000000004"/>
    <s v="165 Main St"/>
    <s v="Cash"/>
    <s v="Returned"/>
    <s v="TRK13928455"/>
    <n v="6"/>
    <s v="No Coupon"/>
    <x v="1"/>
    <n v="2894.15"/>
    <x v="1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x v="4"/>
    <n v="1919.1"/>
    <x v="2"/>
  </r>
  <r>
    <s v="ORD200918"/>
    <d v="2025-06-24T00:00:00"/>
    <s v="C74359"/>
    <s v="Laptop"/>
    <n v="5"/>
    <n v="368.25"/>
    <s v="706 Main St"/>
    <s v="Online"/>
    <s v="Delivered"/>
    <s v="TRK18250450"/>
    <n v="5"/>
    <s v="No Coupon"/>
    <x v="0"/>
    <n v="1841.25"/>
    <x v="2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x v="1"/>
    <n v="749.2"/>
    <x v="2"/>
  </r>
  <r>
    <s v="ORD200920"/>
    <d v="2025-03-12T00:00:00"/>
    <s v="C26137"/>
    <s v="Tablet"/>
    <n v="2"/>
    <n v="428.09"/>
    <s v="978 Main St"/>
    <s v="Credit Card"/>
    <s v="Returned"/>
    <s v="TRK98110407"/>
    <n v="6"/>
    <s v="No Coupon"/>
    <x v="0"/>
    <n v="856.18"/>
    <x v="2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x v="1"/>
    <n v="438.93"/>
    <x v="0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o Coupon"/>
    <x v="0"/>
    <n v="1127.6400000000001"/>
    <x v="1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x v="3"/>
    <n v="1949.79"/>
    <x v="0"/>
  </r>
  <r>
    <s v="ORD200924"/>
    <d v="2025-03-22T00:00:00"/>
    <s v="C81319"/>
    <s v="Printer"/>
    <n v="5"/>
    <n v="268.43"/>
    <s v="991 Main St"/>
    <s v="Cash"/>
    <s v="Returned"/>
    <s v="TRK55330558"/>
    <n v="5"/>
    <s v="SAVE10"/>
    <x v="2"/>
    <n v="1342.15"/>
    <x v="2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x v="2"/>
    <n v="2512.35"/>
    <x v="1"/>
  </r>
  <r>
    <s v="ORD200926"/>
    <d v="2024-03-20T00:00:00"/>
    <s v="C67533"/>
    <s v="Desk"/>
    <n v="1"/>
    <n v="26.95"/>
    <s v="672 Main St"/>
    <s v="Cash"/>
    <s v="Delivered"/>
    <s v="TRK14566395"/>
    <n v="1"/>
    <s v="WINTER15"/>
    <x v="2"/>
    <n v="26.95"/>
    <x v="1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x v="4"/>
    <n v="258.76"/>
    <x v="0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x v="1"/>
    <n v="741.33"/>
    <x v="1"/>
  </r>
  <r>
    <s v="ORD200929"/>
    <d v="2024-10-16T00:00:00"/>
    <s v="C67936"/>
    <s v="Tablet"/>
    <n v="2"/>
    <n v="536.25"/>
    <s v="553 Main St"/>
    <s v="Debit Card"/>
    <s v="Pending"/>
    <s v="TRK71803414"/>
    <n v="3"/>
    <s v="No Coupon"/>
    <x v="2"/>
    <n v="1072.5"/>
    <x v="1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x v="2"/>
    <n v="912.08"/>
    <x v="1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x v="4"/>
    <n v="80.459999999999994"/>
    <x v="1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x v="0"/>
    <n v="144.78"/>
    <x v="0"/>
  </r>
  <r>
    <s v="ORD200933"/>
    <d v="2023-01-26T00:00:00"/>
    <s v="C59685"/>
    <s v="Monitor"/>
    <n v="2"/>
    <n v="394.16"/>
    <s v="255 Main St"/>
    <s v="Online"/>
    <s v="Shipped"/>
    <s v="TRK43718093"/>
    <n v="2"/>
    <s v="No Coupon"/>
    <x v="1"/>
    <n v="788.32"/>
    <x v="0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x v="1"/>
    <n v="479.36"/>
    <x v="2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x v="0"/>
    <n v="2078.13"/>
    <x v="0"/>
  </r>
  <r>
    <s v="ORD200936"/>
    <d v="2024-01-12T00:00:00"/>
    <s v="C50612"/>
    <s v="Chair"/>
    <n v="4"/>
    <n v="56.66"/>
    <s v="737 Main St"/>
    <s v="Online"/>
    <s v="Delivered"/>
    <s v="TRK44140968"/>
    <n v="4"/>
    <s v="SAVE10"/>
    <x v="0"/>
    <n v="226.64"/>
    <x v="1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x v="2"/>
    <n v="597.05999999999995"/>
    <x v="1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x v="1"/>
    <n v="994.37999999999988"/>
    <x v="0"/>
  </r>
  <r>
    <s v="ORD200939"/>
    <d v="2025-04-16T00:00:00"/>
    <s v="C48510"/>
    <s v="Laptop"/>
    <n v="2"/>
    <n v="521.4"/>
    <s v="212 Main St"/>
    <s v="Cash"/>
    <s v="Delivered"/>
    <s v="TRK53152886"/>
    <n v="7"/>
    <s v="SAVE10"/>
    <x v="0"/>
    <n v="1042.8"/>
    <x v="2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x v="4"/>
    <n v="1221.28"/>
    <x v="0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x v="2"/>
    <n v="558.5"/>
    <x v="0"/>
  </r>
  <r>
    <s v="ORD200942"/>
    <d v="2023-09-29T00:00:00"/>
    <s v="C17591"/>
    <s v="Tablet"/>
    <n v="1"/>
    <n v="479.76"/>
    <s v="882 Main St"/>
    <s v="Credit Card"/>
    <s v="Pending"/>
    <s v="TRK56070470"/>
    <n v="1"/>
    <s v="No Coupon"/>
    <x v="2"/>
    <n v="479.76"/>
    <x v="0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x v="3"/>
    <n v="580.47"/>
    <x v="0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x v="4"/>
    <n v="852.44"/>
    <x v="1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x v="1"/>
    <n v="1382.2"/>
    <x v="0"/>
  </r>
  <r>
    <s v="ORD200946"/>
    <d v="2024-05-04T00:00:00"/>
    <s v="C65021"/>
    <s v="Phone"/>
    <n v="2"/>
    <n v="404.96"/>
    <s v="546 Main St"/>
    <s v="Cash"/>
    <s v="Shipped"/>
    <s v="TRK20626179"/>
    <n v="4"/>
    <s v="SAVE10"/>
    <x v="2"/>
    <n v="809.92"/>
    <x v="1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x v="2"/>
    <n v="1862.64"/>
    <x v="0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o Coupon"/>
    <x v="4"/>
    <n v="1188.1400000000001"/>
    <x v="1"/>
  </r>
  <r>
    <s v="ORD200949"/>
    <d v="2023-11-09T00:00:00"/>
    <s v="C55778"/>
    <s v="Desk"/>
    <n v="5"/>
    <n v="110.38"/>
    <s v="319 Main St"/>
    <s v="Cash"/>
    <s v="Pending"/>
    <s v="TRK93797108"/>
    <n v="10"/>
    <s v="No Coupon"/>
    <x v="1"/>
    <n v="551.9"/>
    <x v="0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x v="0"/>
    <n v="596.24"/>
    <x v="1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x v="2"/>
    <n v="612.48"/>
    <x v="1"/>
  </r>
  <r>
    <s v="ORD200952"/>
    <d v="2025-02-27T00:00:00"/>
    <s v="C49111"/>
    <s v="Monitor"/>
    <n v="3"/>
    <n v="503.39"/>
    <s v="225 Main St"/>
    <s v="Online"/>
    <s v="Pending"/>
    <s v="TRK45303393"/>
    <n v="5"/>
    <s v="No Coupon"/>
    <x v="3"/>
    <n v="1510.17"/>
    <x v="2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x v="3"/>
    <n v="131.61000000000001"/>
    <x v="0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x v="4"/>
    <n v="1330.32"/>
    <x v="1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x v="0"/>
    <n v="408.13"/>
    <x v="0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x v="1"/>
    <n v="321.95999999999998"/>
    <x v="1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x v="3"/>
    <n v="3219.45"/>
    <x v="0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x v="2"/>
    <n v="475.98"/>
    <x v="0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x v="0"/>
    <n v="287.64"/>
    <x v="1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x v="4"/>
    <n v="1137.21"/>
    <x v="0"/>
  </r>
  <r>
    <s v="ORD200961"/>
    <d v="2024-11-11T00:00:00"/>
    <s v="C55464"/>
    <s v="Phone"/>
    <n v="1"/>
    <n v="601.36"/>
    <s v="532 Main St"/>
    <s v="Online"/>
    <s v="Shipped"/>
    <s v="TRK81178598"/>
    <n v="1"/>
    <s v="No Coupon"/>
    <x v="3"/>
    <n v="601.36"/>
    <x v="1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x v="1"/>
    <n v="284.16000000000003"/>
    <x v="1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x v="4"/>
    <n v="2651.7"/>
    <x v="1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x v="1"/>
    <n v="1822.1"/>
    <x v="0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x v="2"/>
    <n v="2313.12"/>
    <x v="2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x v="3"/>
    <n v="1402.6"/>
    <x v="2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x v="4"/>
    <n v="3194.6"/>
    <x v="2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x v="1"/>
    <n v="1648.8"/>
    <x v="1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x v="3"/>
    <n v="440.34"/>
    <x v="2"/>
  </r>
  <r>
    <s v="ORD200970"/>
    <d v="2024-09-07T00:00:00"/>
    <s v="C72664"/>
    <s v="Desk"/>
    <n v="1"/>
    <n v="627.15"/>
    <s v="241 Main St"/>
    <s v="Cash"/>
    <s v="Delivered"/>
    <s v="TRK86694331"/>
    <n v="5"/>
    <s v="SAVE10"/>
    <x v="0"/>
    <n v="627.15"/>
    <x v="1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x v="1"/>
    <n v="1210.52"/>
    <x v="1"/>
  </r>
  <r>
    <s v="ORD200972"/>
    <d v="2024-06-09T00:00:00"/>
    <s v="C66438"/>
    <s v="Laptop"/>
    <n v="1"/>
    <n v="90.27"/>
    <s v="816 Main St"/>
    <s v="Cash"/>
    <s v="Delivered"/>
    <s v="TRK32035271"/>
    <n v="5"/>
    <s v="SAVE10"/>
    <x v="3"/>
    <n v="90.27"/>
    <x v="1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x v="1"/>
    <n v="1153.8499999999999"/>
    <x v="2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o Coupon"/>
    <x v="2"/>
    <n v="1333.9"/>
    <x v="0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x v="2"/>
    <n v="105.92"/>
    <x v="0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x v="1"/>
    <n v="1767.9"/>
    <x v="1"/>
  </r>
  <r>
    <s v="ORD200977"/>
    <d v="2023-01-28T00:00:00"/>
    <s v="C85841"/>
    <s v="Chair"/>
    <n v="4"/>
    <n v="649.47"/>
    <s v="608 Main St"/>
    <s v="Cash"/>
    <s v="Pending"/>
    <s v="TRK99820544"/>
    <n v="8"/>
    <s v="SAVE10"/>
    <x v="4"/>
    <n v="2597.88"/>
    <x v="0"/>
  </r>
  <r>
    <s v="ORD200978"/>
    <d v="2024-06-25T00:00:00"/>
    <s v="C41508"/>
    <s v="Printer"/>
    <n v="4"/>
    <n v="107.49"/>
    <s v="993 Main St"/>
    <s v="Cash"/>
    <s v="Delivered"/>
    <s v="TRK61047536"/>
    <n v="5"/>
    <s v="No Coupon"/>
    <x v="4"/>
    <n v="429.96"/>
    <x v="1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x v="3"/>
    <n v="2007.18"/>
    <x v="0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x v="0"/>
    <n v="208.95"/>
    <x v="0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x v="2"/>
    <n v="547.32000000000005"/>
    <x v="0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x v="1"/>
    <n v="304.11"/>
    <x v="1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x v="2"/>
    <n v="1185.1199999999999"/>
    <x v="1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x v="3"/>
    <n v="77.64"/>
    <x v="2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x v="4"/>
    <n v="243.71"/>
    <x v="1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x v="2"/>
    <n v="2579.84"/>
    <x v="1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x v="0"/>
    <n v="1418.65"/>
    <x v="2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x v="0"/>
    <n v="1259.1199999999999"/>
    <x v="2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x v="0"/>
    <n v="984.44"/>
    <x v="0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x v="4"/>
    <n v="836.52"/>
    <x v="0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x v="4"/>
    <n v="635.90000000000009"/>
    <x v="1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x v="1"/>
    <n v="1758.63"/>
    <x v="1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x v="0"/>
    <n v="802.34999999999991"/>
    <x v="1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x v="4"/>
    <n v="2462.6"/>
    <x v="1"/>
  </r>
  <r>
    <s v="ORD200995"/>
    <d v="2023-11-18T00:00:00"/>
    <s v="C99271"/>
    <s v="Monitor"/>
    <n v="2"/>
    <n v="113.29"/>
    <s v="959 Main St"/>
    <s v="Cash"/>
    <s v="Pending"/>
    <s v="TRK87832736"/>
    <n v="5"/>
    <s v="SAVE10"/>
    <x v="3"/>
    <n v="226.58"/>
    <x v="0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x v="3"/>
    <n v="1895.44"/>
    <x v="1"/>
  </r>
  <r>
    <s v="ORD200997"/>
    <d v="2023-11-27T00:00:00"/>
    <s v="C26210"/>
    <s v="Laptop"/>
    <n v="3"/>
    <n v="444.75"/>
    <s v="805 Main St"/>
    <s v="Cash"/>
    <s v="Delivered"/>
    <s v="TRK40616861"/>
    <n v="6"/>
    <s v="SAVE10"/>
    <x v="3"/>
    <n v="1334.25"/>
    <x v="0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x v="4"/>
    <n v="367.34"/>
    <x v="0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x v="4"/>
    <n v="483.38"/>
    <x v="0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x v="2"/>
    <n v="1304.6500000000001"/>
    <x v="0"/>
  </r>
  <r>
    <s v="ORD201001"/>
    <d v="2023-12-08T00:00:00"/>
    <s v="C31371"/>
    <s v="Printer"/>
    <n v="2"/>
    <n v="253.68"/>
    <s v="122 Main St"/>
    <s v="Gift Card"/>
    <s v="Shipped"/>
    <s v="TRK19554327"/>
    <n v="6"/>
    <s v="No Coupon"/>
    <x v="1"/>
    <n v="507.36"/>
    <x v="0"/>
  </r>
  <r>
    <s v="ORD201002"/>
    <d v="2025-06-19T00:00:00"/>
    <s v="C83911"/>
    <s v="Tablet"/>
    <n v="4"/>
    <n v="699.88"/>
    <s v="944 Main St"/>
    <s v="Cash"/>
    <s v="Pending"/>
    <s v="TRK33188106"/>
    <n v="5"/>
    <s v="WINTER15"/>
    <x v="1"/>
    <n v="2799.52"/>
    <x v="2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x v="4"/>
    <n v="1599.85"/>
    <x v="0"/>
  </r>
  <r>
    <s v="ORD201004"/>
    <d v="2025-06-09T00:00:00"/>
    <s v="C87529"/>
    <s v="Chair"/>
    <n v="4"/>
    <n v="246.91"/>
    <s v="296 Main St"/>
    <s v="Online"/>
    <s v="Pending"/>
    <s v="TRK15739505"/>
    <n v="8"/>
    <s v="SAVE10"/>
    <x v="1"/>
    <n v="987.64"/>
    <x v="2"/>
  </r>
  <r>
    <s v="ORD201005"/>
    <d v="2023-03-02T00:00:00"/>
    <s v="C38065"/>
    <s v="Printer"/>
    <n v="3"/>
    <n v="392.85"/>
    <s v="426 Main St"/>
    <s v="Credit Card"/>
    <s v="Returned"/>
    <s v="TRK11448295"/>
    <n v="6"/>
    <s v="No Coupon"/>
    <x v="4"/>
    <n v="1178.55"/>
    <x v="0"/>
  </r>
  <r>
    <s v="ORD201006"/>
    <d v="2024-05-27T00:00:00"/>
    <s v="C27435"/>
    <s v="Tablet"/>
    <n v="5"/>
    <n v="420.98"/>
    <s v="860 Main St"/>
    <s v="Cash"/>
    <s v="Delivered"/>
    <s v="TRK91458233"/>
    <n v="7"/>
    <s v="SAVE10"/>
    <x v="3"/>
    <n v="2104.9"/>
    <x v="1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x v="3"/>
    <n v="146.52000000000001"/>
    <x v="1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x v="0"/>
    <n v="1232.6400000000001"/>
    <x v="0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x v="2"/>
    <n v="352.92"/>
    <x v="0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x v="2"/>
    <n v="1978.71"/>
    <x v="0"/>
  </r>
  <r>
    <s v="ORD201011"/>
    <d v="2024-12-03T00:00:00"/>
    <s v="C47823"/>
    <s v="Phone"/>
    <n v="2"/>
    <n v="478.36"/>
    <s v="654 Main St"/>
    <s v="Online"/>
    <s v="Shipped"/>
    <s v="TRK22271097"/>
    <n v="3"/>
    <s v="No Coupon"/>
    <x v="4"/>
    <n v="956.72"/>
    <x v="1"/>
  </r>
  <r>
    <s v="ORD201012"/>
    <d v="2024-12-03T00:00:00"/>
    <s v="C84570"/>
    <s v="Printer"/>
    <n v="4"/>
    <n v="30.05"/>
    <s v="301 Main St"/>
    <s v="Online"/>
    <s v="Returned"/>
    <s v="TRK12551882"/>
    <n v="6"/>
    <s v="No Coupon"/>
    <x v="3"/>
    <n v="120.2"/>
    <x v="1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x v="3"/>
    <n v="1202.24"/>
    <x v="2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x v="2"/>
    <n v="1132.25"/>
    <x v="1"/>
  </r>
  <r>
    <s v="ORD201015"/>
    <d v="2024-01-26T00:00:00"/>
    <s v="C97454"/>
    <s v="Printer"/>
    <n v="2"/>
    <n v="349.4"/>
    <s v="892 Main St"/>
    <s v="Online"/>
    <s v="Shipped"/>
    <s v="TRK73249329"/>
    <n v="2"/>
    <s v="SAVE10"/>
    <x v="0"/>
    <n v="698.8"/>
    <x v="1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x v="2"/>
    <n v="1343.9"/>
    <x v="0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x v="1"/>
    <n v="1361.7"/>
    <x v="1"/>
  </r>
  <r>
    <s v="ORD201018"/>
    <d v="2023-07-08T00:00:00"/>
    <s v="C77499"/>
    <s v="Laptop"/>
    <n v="3"/>
    <n v="182.48"/>
    <s v="209 Main St"/>
    <s v="Cash"/>
    <s v="Delivered"/>
    <s v="TRK20703086"/>
    <n v="3"/>
    <s v="No Coupon"/>
    <x v="0"/>
    <n v="547.43999999999994"/>
    <x v="0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x v="1"/>
    <n v="277.08999999999997"/>
    <x v="1"/>
  </r>
  <r>
    <s v="ORD201020"/>
    <d v="2024-04-22T00:00:00"/>
    <s v="C50211"/>
    <s v="Tablet"/>
    <n v="2"/>
    <n v="26.5"/>
    <s v="312 Main St"/>
    <s v="Online"/>
    <s v="Delivered"/>
    <s v="TRK47787981"/>
    <n v="3"/>
    <s v="SAVE10"/>
    <x v="0"/>
    <n v="53"/>
    <x v="1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x v="2"/>
    <n v="945.81"/>
    <x v="0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x v="1"/>
    <n v="1352.94"/>
    <x v="2"/>
  </r>
  <r>
    <s v="ORD201023"/>
    <d v="2024-09-23T00:00:00"/>
    <s v="C65251"/>
    <s v="Laptop"/>
    <n v="5"/>
    <n v="233.67"/>
    <s v="291 Main St"/>
    <s v="Cash"/>
    <s v="Shipped"/>
    <s v="TRK32059025"/>
    <n v="10"/>
    <s v="No Coupon"/>
    <x v="1"/>
    <n v="1168.3499999999999"/>
    <x v="1"/>
  </r>
  <r>
    <s v="ORD201024"/>
    <d v="2024-01-29T00:00:00"/>
    <s v="C90612"/>
    <s v="Chair"/>
    <n v="3"/>
    <n v="367.75"/>
    <s v="731 Main St"/>
    <s v="Cash"/>
    <s v="Pending"/>
    <s v="TRK93022878"/>
    <n v="7"/>
    <s v="FREESHIP"/>
    <x v="3"/>
    <n v="1103.25"/>
    <x v="1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x v="0"/>
    <n v="23.53"/>
    <x v="2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x v="3"/>
    <n v="677.48"/>
    <x v="0"/>
  </r>
  <r>
    <s v="ORD201027"/>
    <d v="2024-05-21T00:00:00"/>
    <s v="C93467"/>
    <s v="Laptop"/>
    <n v="4"/>
    <n v="554.83000000000004"/>
    <s v="983 Main St"/>
    <s v="Cash"/>
    <s v="Returned"/>
    <s v="TRK77377373"/>
    <n v="6"/>
    <s v="No Coupon"/>
    <x v="4"/>
    <n v="2219.3200000000002"/>
    <x v="1"/>
  </r>
  <r>
    <s v="ORD201028"/>
    <d v="2023-02-17T00:00:00"/>
    <s v="C60042"/>
    <s v="Desk"/>
    <n v="4"/>
    <n v="440.31"/>
    <s v="610 Main St"/>
    <s v="Cash"/>
    <s v="Cancelled"/>
    <s v="TRK84651559"/>
    <n v="6"/>
    <s v="No Coupon"/>
    <x v="0"/>
    <n v="1761.24"/>
    <x v="0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x v="2"/>
    <n v="87.06"/>
    <x v="2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x v="2"/>
    <n v="981.12"/>
    <x v="0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x v="2"/>
    <n v="3322.55"/>
    <x v="0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x v="1"/>
    <n v="618.67999999999995"/>
    <x v="0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x v="1"/>
    <n v="370.85"/>
    <x v="1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x v="3"/>
    <n v="2071.92"/>
    <x v="1"/>
  </r>
  <r>
    <s v="ORD201035"/>
    <d v="2023-11-12T00:00:00"/>
    <s v="C70315"/>
    <s v="Laptop"/>
    <n v="4"/>
    <n v="506.11"/>
    <s v="911 Main St"/>
    <s v="Cash"/>
    <s v="Cancelled"/>
    <s v="TRK97732085"/>
    <n v="5"/>
    <s v="No Coupon"/>
    <x v="1"/>
    <n v="2024.44"/>
    <x v="0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x v="3"/>
    <n v="1241.49"/>
    <x v="1"/>
  </r>
  <r>
    <s v="ORD201037"/>
    <d v="2023-12-13T00:00:00"/>
    <s v="C32347"/>
    <s v="Printer"/>
    <n v="1"/>
    <n v="249.81"/>
    <s v="408 Main St"/>
    <s v="Cash"/>
    <s v="Pending"/>
    <s v="TRK54073964"/>
    <n v="1"/>
    <s v="SAVE10"/>
    <x v="4"/>
    <n v="249.81"/>
    <x v="0"/>
  </r>
  <r>
    <s v="ORD201038"/>
    <d v="2025-03-15T00:00:00"/>
    <s v="C77961"/>
    <s v="Tablet"/>
    <n v="3"/>
    <n v="362.53"/>
    <s v="422 Main St"/>
    <s v="Debit Card"/>
    <s v="Returned"/>
    <s v="TRK28969024"/>
    <n v="5"/>
    <s v="No Coupon"/>
    <x v="3"/>
    <n v="1087.5899999999999"/>
    <x v="2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x v="0"/>
    <n v="598.46"/>
    <x v="2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x v="4"/>
    <n v="536.07000000000005"/>
    <x v="0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x v="4"/>
    <n v="2235.6"/>
    <x v="0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x v="3"/>
    <n v="819.5"/>
    <x v="1"/>
  </r>
  <r>
    <s v="ORD201043"/>
    <d v="2025-01-11T00:00:00"/>
    <s v="C43965"/>
    <s v="Tablet"/>
    <n v="2"/>
    <n v="179.96"/>
    <s v="675 Main St"/>
    <s v="Gift Card"/>
    <s v="Shipped"/>
    <s v="TRK94346739"/>
    <n v="5"/>
    <s v="No Coupon"/>
    <x v="0"/>
    <n v="359.92"/>
    <x v="2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x v="1"/>
    <n v="38.49"/>
    <x v="2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o Coupon"/>
    <x v="2"/>
    <n v="1582"/>
    <x v="1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x v="0"/>
    <n v="1641.45"/>
    <x v="1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x v="1"/>
    <n v="2161.36"/>
    <x v="0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o Coupon"/>
    <x v="4"/>
    <n v="294.60000000000002"/>
    <x v="1"/>
  </r>
  <r>
    <s v="ORD201049"/>
    <d v="2024-07-18T00:00:00"/>
    <s v="C60575"/>
    <s v="Desk"/>
    <n v="5"/>
    <n v="391.86"/>
    <s v="587 Main St"/>
    <s v="Credit Card"/>
    <s v="Shipped"/>
    <s v="TRK44468232"/>
    <n v="6"/>
    <s v="No Coupon"/>
    <x v="0"/>
    <n v="1959.3"/>
    <x v="1"/>
  </r>
  <r>
    <s v="ORD201050"/>
    <d v="2023-08-20T00:00:00"/>
    <s v="C70659"/>
    <s v="Laptop"/>
    <n v="5"/>
    <n v="69.7"/>
    <s v="722 Main St"/>
    <s v="Online"/>
    <s v="Returned"/>
    <s v="TRK49663597"/>
    <n v="9"/>
    <s v="No Coupon"/>
    <x v="0"/>
    <n v="348.5"/>
    <x v="0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x v="3"/>
    <n v="132.15"/>
    <x v="2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x v="4"/>
    <n v="531.74"/>
    <x v="0"/>
  </r>
  <r>
    <s v="ORD201053"/>
    <d v="2024-09-15T00:00:00"/>
    <s v="C32798"/>
    <s v="Phone"/>
    <n v="2"/>
    <n v="496.62"/>
    <s v="679 Main St"/>
    <s v="Online"/>
    <s v="Pending"/>
    <s v="TRK37375451"/>
    <n v="2"/>
    <s v="SAVE10"/>
    <x v="0"/>
    <n v="993.24"/>
    <x v="1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x v="0"/>
    <n v="660.66"/>
    <x v="0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x v="2"/>
    <n v="1099.28"/>
    <x v="0"/>
  </r>
  <r>
    <s v="ORD201056"/>
    <d v="2024-06-14T00:00:00"/>
    <s v="C26152"/>
    <s v="Phone"/>
    <n v="2"/>
    <n v="486.35"/>
    <s v="790 Main St"/>
    <s v="Online"/>
    <s v="Pending"/>
    <s v="TRK49382455"/>
    <n v="6"/>
    <s v="SAVE10"/>
    <x v="1"/>
    <n v="972.7"/>
    <x v="1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x v="3"/>
    <n v="1286.6400000000001"/>
    <x v="1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x v="0"/>
    <n v="824.28"/>
    <x v="0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x v="0"/>
    <n v="265.64"/>
    <x v="1"/>
  </r>
  <r>
    <s v="ORD201060"/>
    <d v="2024-05-07T00:00:00"/>
    <s v="C38024"/>
    <s v="Tablet"/>
    <n v="2"/>
    <n v="273.43"/>
    <s v="824 Main St"/>
    <s v="Cash"/>
    <s v="Shipped"/>
    <s v="TRK93370912"/>
    <n v="7"/>
    <s v="WINTER15"/>
    <x v="1"/>
    <n v="546.86"/>
    <x v="1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x v="4"/>
    <n v="658.5"/>
    <x v="2"/>
  </r>
  <r>
    <s v="ORD201062"/>
    <d v="2023-08-23T00:00:00"/>
    <s v="C13501"/>
    <s v="Chair"/>
    <n v="5"/>
    <n v="85.52"/>
    <s v="301 Main St"/>
    <s v="Gift Card"/>
    <s v="Cancelled"/>
    <s v="TRK65149372"/>
    <n v="5"/>
    <s v="No Coupon"/>
    <x v="3"/>
    <n v="427.6"/>
    <x v="0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x v="1"/>
    <n v="641.36"/>
    <x v="1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x v="1"/>
    <n v="795.24"/>
    <x v="2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x v="1"/>
    <n v="3334"/>
    <x v="0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x v="0"/>
    <n v="355.09"/>
    <x v="0"/>
  </r>
  <r>
    <s v="ORD201067"/>
    <d v="2023-06-06T00:00:00"/>
    <s v="C78959"/>
    <s v="Phone"/>
    <n v="2"/>
    <n v="316.2"/>
    <s v="384 Main St"/>
    <s v="Online"/>
    <s v="Returned"/>
    <s v="TRK37426359"/>
    <n v="2"/>
    <s v="No Coupon"/>
    <x v="0"/>
    <n v="632.4"/>
    <x v="0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x v="1"/>
    <n v="133.38999999999999"/>
    <x v="1"/>
  </r>
  <r>
    <s v="ORD201069"/>
    <d v="2023-02-25T00:00:00"/>
    <s v="C70506"/>
    <s v="Monitor"/>
    <n v="1"/>
    <n v="454.23"/>
    <s v="255 Main St"/>
    <s v="Gift Card"/>
    <s v="Returned"/>
    <s v="TRK12518384"/>
    <n v="3"/>
    <s v="No Coupon"/>
    <x v="3"/>
    <n v="454.23"/>
    <x v="0"/>
  </r>
  <r>
    <s v="ORD201070"/>
    <d v="2024-09-06T00:00:00"/>
    <s v="C46873"/>
    <s v="Desk"/>
    <n v="4"/>
    <n v="491.29"/>
    <s v="496 Main St"/>
    <s v="Debit Card"/>
    <s v="Pending"/>
    <s v="TRK10926575"/>
    <n v="6"/>
    <s v="No Coupon"/>
    <x v="2"/>
    <n v="1965.16"/>
    <x v="1"/>
  </r>
  <r>
    <s v="ORD201071"/>
    <d v="2025-06-24T00:00:00"/>
    <s v="C94037"/>
    <s v="Phone"/>
    <n v="2"/>
    <n v="255.14"/>
    <s v="216 Main St"/>
    <s v="Cash"/>
    <s v="Shipped"/>
    <s v="TRK47536985"/>
    <n v="2"/>
    <s v="No Coupon"/>
    <x v="4"/>
    <n v="510.28"/>
    <x v="2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x v="1"/>
    <n v="392.61"/>
    <x v="0"/>
  </r>
  <r>
    <s v="ORD201073"/>
    <d v="2024-10-11T00:00:00"/>
    <s v="C69471"/>
    <s v="Tablet"/>
    <n v="4"/>
    <n v="362.06"/>
    <s v="294 Main St"/>
    <s v="Debit Card"/>
    <s v="Returned"/>
    <s v="TRK11107152"/>
    <n v="4"/>
    <s v="No Coupon"/>
    <x v="3"/>
    <n v="1448.24"/>
    <x v="1"/>
  </r>
  <r>
    <s v="ORD201074"/>
    <d v="2024-05-10T00:00:00"/>
    <s v="C21437"/>
    <s v="Phone"/>
    <n v="1"/>
    <n v="222.73"/>
    <s v="120 Main St"/>
    <s v="Online"/>
    <s v="Returned"/>
    <s v="TRK81624772"/>
    <n v="4"/>
    <s v="No Coupon"/>
    <x v="4"/>
    <n v="222.73"/>
    <x v="1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x v="0"/>
    <n v="1105.26"/>
    <x v="1"/>
  </r>
  <r>
    <s v="ORD201076"/>
    <d v="2023-05-08T00:00:00"/>
    <s v="C99116"/>
    <s v="Laptop"/>
    <n v="4"/>
    <n v="686.61"/>
    <s v="176 Main St"/>
    <s v="Cash"/>
    <s v="Shipped"/>
    <s v="TRK52711973"/>
    <n v="6"/>
    <s v="No Coupon"/>
    <x v="1"/>
    <n v="2746.44"/>
    <x v="0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x v="1"/>
    <n v="915.48"/>
    <x v="2"/>
  </r>
  <r>
    <s v="ORD201078"/>
    <d v="2023-03-18T00:00:00"/>
    <s v="C62627"/>
    <s v="Desk"/>
    <n v="1"/>
    <n v="41.09"/>
    <s v="881 Main St"/>
    <s v="Online"/>
    <s v="Returned"/>
    <s v="TRK90060232"/>
    <n v="4"/>
    <s v="WINTER15"/>
    <x v="2"/>
    <n v="41.09"/>
    <x v="0"/>
  </r>
  <r>
    <s v="ORD201079"/>
    <d v="2024-06-20T00:00:00"/>
    <s v="C89979"/>
    <s v="Phone"/>
    <n v="5"/>
    <n v="634"/>
    <s v="144 Main St"/>
    <s v="Gift Card"/>
    <s v="Delivered"/>
    <s v="TRK99055909"/>
    <n v="8"/>
    <s v="No Coupon"/>
    <x v="2"/>
    <n v="3170"/>
    <x v="1"/>
  </r>
  <r>
    <s v="ORD201080"/>
    <d v="2023-01-20T00:00:00"/>
    <s v="C70613"/>
    <s v="Laptop"/>
    <n v="5"/>
    <n v="464.74"/>
    <s v="438 Main St"/>
    <s v="Gift Card"/>
    <s v="Delivered"/>
    <s v="TRK33140293"/>
    <n v="7"/>
    <s v="No Coupon"/>
    <x v="1"/>
    <n v="2323.6999999999998"/>
    <x v="0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x v="4"/>
    <n v="1702.4"/>
    <x v="0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x v="2"/>
    <n v="1719.66"/>
    <x v="0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x v="2"/>
    <n v="123.28"/>
    <x v="1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x v="0"/>
    <n v="70.819999999999993"/>
    <x v="0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x v="0"/>
    <n v="1293.3800000000001"/>
    <x v="0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x v="0"/>
    <n v="1026.8399999999999"/>
    <x v="0"/>
  </r>
  <r>
    <s v="ORD201087"/>
    <d v="2025-03-23T00:00:00"/>
    <s v="C84134"/>
    <s v="Laptop"/>
    <n v="4"/>
    <n v="693.07"/>
    <s v="530 Main St"/>
    <s v="Online"/>
    <s v="Shipped"/>
    <s v="TRK48659380"/>
    <n v="8"/>
    <s v="SAVE10"/>
    <x v="0"/>
    <n v="2772.28"/>
    <x v="2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x v="0"/>
    <n v="1474.29"/>
    <x v="0"/>
  </r>
  <r>
    <s v="ORD201089"/>
    <d v="2025-03-15T00:00:00"/>
    <s v="C13324"/>
    <s v="Tablet"/>
    <n v="2"/>
    <n v="599.74"/>
    <s v="440 Main St"/>
    <s v="Gift Card"/>
    <s v="Shipped"/>
    <s v="TRK66967997"/>
    <n v="2"/>
    <s v="No Coupon"/>
    <x v="0"/>
    <n v="1199.48"/>
    <x v="2"/>
  </r>
  <r>
    <s v="ORD201090"/>
    <d v="2023-02-25T00:00:00"/>
    <s v="C61225"/>
    <s v="Monitor"/>
    <n v="2"/>
    <n v="650.25"/>
    <s v="996 Main St"/>
    <s v="Gift Card"/>
    <s v="Returned"/>
    <s v="TRK37022954"/>
    <n v="6"/>
    <s v="No Coupon"/>
    <x v="0"/>
    <n v="1300.5"/>
    <x v="0"/>
  </r>
  <r>
    <s v="ORD201091"/>
    <d v="2024-10-08T00:00:00"/>
    <s v="C16400"/>
    <s v="Laptop"/>
    <n v="3"/>
    <n v="209.48"/>
    <s v="123 Main St"/>
    <s v="Debit Card"/>
    <s v="Pending"/>
    <s v="TRK57771859"/>
    <n v="4"/>
    <s v="No Coupon"/>
    <x v="2"/>
    <n v="628.43999999999994"/>
    <x v="1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x v="2"/>
    <n v="1046"/>
    <x v="0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x v="0"/>
    <n v="789.44"/>
    <x v="0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x v="0"/>
    <n v="2595.64"/>
    <x v="0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x v="2"/>
    <n v="883.08"/>
    <x v="1"/>
  </r>
  <r>
    <s v="ORD201096"/>
    <d v="2025-05-03T00:00:00"/>
    <s v="C18169"/>
    <s v="Tablet"/>
    <n v="2"/>
    <n v="464.92"/>
    <s v="782 Main St"/>
    <s v="Debit Card"/>
    <s v="Returned"/>
    <s v="TRK49482923"/>
    <n v="2"/>
    <s v="No Coupon"/>
    <x v="3"/>
    <n v="929.84"/>
    <x v="2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x v="4"/>
    <n v="2532.25"/>
    <x v="1"/>
  </r>
  <r>
    <s v="ORD201098"/>
    <d v="2023-06-17T00:00:00"/>
    <s v="C91103"/>
    <s v="Monitor"/>
    <n v="4"/>
    <n v="255.86"/>
    <s v="155 Main St"/>
    <s v="Credit Card"/>
    <s v="Delivered"/>
    <s v="TRK91653000"/>
    <n v="7"/>
    <s v="No Coupon"/>
    <x v="2"/>
    <n v="1023.44"/>
    <x v="0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x v="2"/>
    <n v="250.46"/>
    <x v="1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x v="0"/>
    <n v="190.55"/>
    <x v="0"/>
  </r>
  <r>
    <s v="ORD201101"/>
    <d v="2025-06-08T00:00:00"/>
    <s v="C43546"/>
    <s v="Monitor"/>
    <n v="3"/>
    <n v="161.97"/>
    <s v="904 Main St"/>
    <s v="Cash"/>
    <s v="Pending"/>
    <s v="TRK85871121"/>
    <n v="4"/>
    <s v="SAVE10"/>
    <x v="2"/>
    <n v="485.91"/>
    <x v="2"/>
  </r>
  <r>
    <s v="ORD201102"/>
    <d v="2024-06-03T00:00:00"/>
    <s v="C98474"/>
    <s v="Chair"/>
    <n v="4"/>
    <n v="347.17"/>
    <s v="997 Main St"/>
    <s v="Debit Card"/>
    <s v="Shipped"/>
    <s v="TRK86192984"/>
    <n v="8"/>
    <s v="No Coupon"/>
    <x v="0"/>
    <n v="1388.68"/>
    <x v="1"/>
  </r>
  <r>
    <s v="ORD201103"/>
    <d v="2023-04-24T00:00:00"/>
    <s v="C90292"/>
    <s v="Laptop"/>
    <n v="4"/>
    <n v="276.32"/>
    <s v="129 Main St"/>
    <s v="Online"/>
    <s v="Delivered"/>
    <s v="TRK26270357"/>
    <n v="5"/>
    <s v="No Coupon"/>
    <x v="4"/>
    <n v="1105.28"/>
    <x v="0"/>
  </r>
  <r>
    <s v="ORD201104"/>
    <d v="2024-07-25T00:00:00"/>
    <s v="C17075"/>
    <s v="Tablet"/>
    <n v="4"/>
    <n v="314.76"/>
    <s v="850 Main St"/>
    <s v="Online"/>
    <s v="Shipped"/>
    <s v="TRK63547510"/>
    <n v="8"/>
    <s v="No Coupon"/>
    <x v="0"/>
    <n v="1259.04"/>
    <x v="1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x v="4"/>
    <n v="1427.07"/>
    <x v="1"/>
  </r>
  <r>
    <s v="ORD201106"/>
    <d v="2023-03-12T00:00:00"/>
    <s v="C34555"/>
    <s v="Chair"/>
    <n v="1"/>
    <n v="372.8"/>
    <s v="903 Main St"/>
    <s v="Cash"/>
    <s v="Cancelled"/>
    <s v="TRK72859458"/>
    <n v="6"/>
    <s v="SAVE10"/>
    <x v="3"/>
    <n v="372.8"/>
    <x v="0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x v="4"/>
    <n v="126.42"/>
    <x v="2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x v="0"/>
    <n v="634.94000000000005"/>
    <x v="0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x v="0"/>
    <n v="309.88"/>
    <x v="1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x v="2"/>
    <n v="252.93"/>
    <x v="1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x v="0"/>
    <n v="937.8"/>
    <x v="0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x v="0"/>
    <n v="356.81"/>
    <x v="0"/>
  </r>
  <r>
    <s v="ORD201113"/>
    <d v="2023-03-19T00:00:00"/>
    <s v="C52914"/>
    <s v="Desk"/>
    <n v="4"/>
    <n v="209.99"/>
    <s v="168 Main St"/>
    <s v="Cash"/>
    <s v="Delivered"/>
    <s v="TRK80819053"/>
    <n v="8"/>
    <s v="No Coupon"/>
    <x v="4"/>
    <n v="839.96"/>
    <x v="0"/>
  </r>
  <r>
    <s v="ORD201114"/>
    <d v="2023-03-16T00:00:00"/>
    <s v="C55164"/>
    <s v="Tablet"/>
    <n v="3"/>
    <n v="659.88"/>
    <s v="609 Main St"/>
    <s v="Gift Card"/>
    <s v="Cancelled"/>
    <s v="TRK79610967"/>
    <n v="3"/>
    <s v="No Coupon"/>
    <x v="4"/>
    <n v="1979.64"/>
    <x v="0"/>
  </r>
  <r>
    <s v="ORD201115"/>
    <d v="2025-06-20T00:00:00"/>
    <s v="C70426"/>
    <s v="Laptop"/>
    <n v="2"/>
    <n v="336.32"/>
    <s v="562 Main St"/>
    <s v="Online"/>
    <s v="Returned"/>
    <s v="TRK89687816"/>
    <n v="3"/>
    <s v="No Coupon"/>
    <x v="4"/>
    <n v="672.64"/>
    <x v="2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x v="3"/>
    <n v="1062.98"/>
    <x v="0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x v="4"/>
    <n v="1765.32"/>
    <x v="1"/>
  </r>
  <r>
    <s v="ORD201118"/>
    <d v="2024-05-24T00:00:00"/>
    <s v="C58168"/>
    <s v="Phone"/>
    <n v="3"/>
    <n v="251.48"/>
    <s v="359 Main St"/>
    <s v="Credit Card"/>
    <s v="Returned"/>
    <s v="TRK99102265"/>
    <n v="4"/>
    <s v="No Coupon"/>
    <x v="2"/>
    <n v="754.43999999999994"/>
    <x v="1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x v="2"/>
    <n v="684.65"/>
    <x v="1"/>
  </r>
  <r>
    <s v="ORD201120"/>
    <d v="2025-05-10T00:00:00"/>
    <s v="C22919"/>
    <s v="Tablet"/>
    <n v="1"/>
    <n v="195.86"/>
    <s v="267 Main St"/>
    <s v="Online"/>
    <s v="Pending"/>
    <s v="TRK82416295"/>
    <n v="3"/>
    <s v="No Coupon"/>
    <x v="3"/>
    <n v="195.86"/>
    <x v="2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x v="0"/>
    <n v="151.02000000000001"/>
    <x v="0"/>
  </r>
  <r>
    <s v="ORD201122"/>
    <d v="2023-06-07T00:00:00"/>
    <s v="C38840"/>
    <s v="Monitor"/>
    <n v="5"/>
    <n v="678.19"/>
    <s v="766 Main St"/>
    <s v="Online"/>
    <s v="Returned"/>
    <s v="TRK32496970"/>
    <n v="8"/>
    <s v="No Coupon"/>
    <x v="3"/>
    <n v="3390.95"/>
    <x v="0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x v="1"/>
    <n v="1662.75"/>
    <x v="0"/>
  </r>
  <r>
    <s v="ORD201124"/>
    <d v="2023-05-09T00:00:00"/>
    <s v="C33744"/>
    <s v="Chair"/>
    <n v="4"/>
    <n v="576.87"/>
    <s v="888 Main St"/>
    <s v="Gift Card"/>
    <s v="Returned"/>
    <s v="TRK40245983"/>
    <n v="5"/>
    <s v="No Coupon"/>
    <x v="0"/>
    <n v="2307.48"/>
    <x v="0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x v="1"/>
    <n v="1633.44"/>
    <x v="0"/>
  </r>
  <r>
    <s v="ORD201126"/>
    <d v="2024-07-22T00:00:00"/>
    <s v="C34337"/>
    <s v="Phone"/>
    <n v="5"/>
    <n v="190.11"/>
    <s v="325 Main St"/>
    <s v="Cash"/>
    <s v="Delivered"/>
    <s v="TRK36195559"/>
    <n v="7"/>
    <s v="SAVE10"/>
    <x v="4"/>
    <n v="950.55000000000007"/>
    <x v="1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x v="2"/>
    <n v="1808.25"/>
    <x v="2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x v="4"/>
    <n v="1940.37"/>
    <x v="0"/>
  </r>
  <r>
    <s v="ORD201129"/>
    <d v="2023-06-11T00:00:00"/>
    <s v="C43911"/>
    <s v="Chair"/>
    <n v="4"/>
    <n v="418.71"/>
    <s v="239 Main St"/>
    <s v="Cash"/>
    <s v="Pending"/>
    <s v="TRK37495481"/>
    <n v="8"/>
    <s v="FREESHIP"/>
    <x v="0"/>
    <n v="1674.84"/>
    <x v="0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x v="0"/>
    <n v="646.9"/>
    <x v="2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x v="3"/>
    <n v="694.5"/>
    <x v="1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x v="2"/>
    <n v="674.64"/>
    <x v="1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x v="3"/>
    <n v="935.82"/>
    <x v="1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x v="3"/>
    <n v="153.12"/>
    <x v="1"/>
  </r>
  <r>
    <s v="ORD201135"/>
    <d v="2023-12-28T00:00:00"/>
    <s v="C11473"/>
    <s v="Printer"/>
    <n v="2"/>
    <n v="73.41"/>
    <s v="562 Main St"/>
    <s v="Online"/>
    <s v="Shipped"/>
    <s v="TRK97793275"/>
    <n v="2"/>
    <s v="SAVE10"/>
    <x v="4"/>
    <n v="146.82"/>
    <x v="0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x v="3"/>
    <n v="2004.99"/>
    <x v="0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x v="0"/>
    <n v="1640.84"/>
    <x v="1"/>
  </r>
  <r>
    <s v="ORD201138"/>
    <d v="2023-12-18T00:00:00"/>
    <s v="C13100"/>
    <s v="Desk"/>
    <n v="4"/>
    <n v="294.41000000000003"/>
    <s v="188 Main St"/>
    <s v="Debit Card"/>
    <s v="Pending"/>
    <s v="TRK55565668"/>
    <n v="4"/>
    <s v="No Coupon"/>
    <x v="0"/>
    <n v="1177.6400000000001"/>
    <x v="0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x v="2"/>
    <n v="1505.46"/>
    <x v="2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o Coupon"/>
    <x v="1"/>
    <n v="1105.6600000000001"/>
    <x v="1"/>
  </r>
  <r>
    <s v="ORD201141"/>
    <d v="2025-02-16T00:00:00"/>
    <s v="C11998"/>
    <s v="Chair"/>
    <n v="3"/>
    <n v="498.66"/>
    <s v="382 Main St"/>
    <s v="Cash"/>
    <s v="Cancelled"/>
    <s v="TRK26707221"/>
    <n v="6"/>
    <s v="No Coupon"/>
    <x v="2"/>
    <n v="1495.98"/>
    <x v="2"/>
  </r>
  <r>
    <s v="ORD201142"/>
    <d v="2024-08-23T00:00:00"/>
    <s v="C23405"/>
    <s v="Phone"/>
    <n v="4"/>
    <n v="695.1"/>
    <s v="484 Main St"/>
    <s v="Debit Card"/>
    <s v="Returned"/>
    <s v="TRK83678708"/>
    <n v="8"/>
    <s v="No Coupon"/>
    <x v="2"/>
    <n v="2780.4"/>
    <x v="1"/>
  </r>
  <r>
    <s v="ORD201143"/>
    <d v="2023-04-03T00:00:00"/>
    <s v="C41132"/>
    <s v="Chair"/>
    <n v="1"/>
    <n v="381.61"/>
    <s v="114 Main St"/>
    <s v="Debit Card"/>
    <s v="Pending"/>
    <s v="TRK51040137"/>
    <n v="5"/>
    <s v="No Coupon"/>
    <x v="2"/>
    <n v="381.61"/>
    <x v="0"/>
  </r>
  <r>
    <s v="ORD201144"/>
    <d v="2023-02-16T00:00:00"/>
    <s v="C88463"/>
    <s v="Desk"/>
    <n v="5"/>
    <n v="507.94"/>
    <s v="292 Main St"/>
    <s v="Online"/>
    <s v="Cancelled"/>
    <s v="TRK88749996"/>
    <n v="9"/>
    <s v="No Coupon"/>
    <x v="3"/>
    <n v="2539.6999999999998"/>
    <x v="0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x v="3"/>
    <n v="1714.59"/>
    <x v="2"/>
  </r>
  <r>
    <s v="ORD201146"/>
    <d v="2024-10-03T00:00:00"/>
    <s v="C36383"/>
    <s v="Monitor"/>
    <n v="5"/>
    <n v="421.44"/>
    <s v="286 Main St"/>
    <s v="Cash"/>
    <s v="Pending"/>
    <s v="TRK93336357"/>
    <n v="5"/>
    <s v="SAVE10"/>
    <x v="0"/>
    <n v="2107.1999999999998"/>
    <x v="1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x v="2"/>
    <n v="1176.5999999999999"/>
    <x v="2"/>
  </r>
  <r>
    <s v="ORD201148"/>
    <d v="2024-06-25T00:00:00"/>
    <s v="C54886"/>
    <s v="Phone"/>
    <n v="1"/>
    <n v="355.15"/>
    <s v="442 Main St"/>
    <s v="Cash"/>
    <s v="Returned"/>
    <s v="TRK66241930"/>
    <n v="2"/>
    <s v="SAVE10"/>
    <x v="2"/>
    <n v="355.15"/>
    <x v="1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x v="0"/>
    <n v="1390.58"/>
    <x v="1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x v="1"/>
    <n v="1210.5999999999999"/>
    <x v="0"/>
  </r>
  <r>
    <s v="ORD201151"/>
    <d v="2023-01-29T00:00:00"/>
    <s v="C94381"/>
    <s v="Chair"/>
    <n v="2"/>
    <n v="608.04"/>
    <s v="962 Main St"/>
    <s v="Cash"/>
    <s v="Cancelled"/>
    <s v="TRK69804304"/>
    <n v="4"/>
    <s v="No Coupon"/>
    <x v="4"/>
    <n v="1216.08"/>
    <x v="0"/>
  </r>
  <r>
    <s v="ORD201152"/>
    <d v="2023-11-09T00:00:00"/>
    <s v="C25162"/>
    <s v="Tablet"/>
    <n v="2"/>
    <n v="344.18"/>
    <s v="533 Main St"/>
    <s v="Credit Card"/>
    <s v="Shipped"/>
    <s v="TRK42183078"/>
    <n v="7"/>
    <s v="No Coupon"/>
    <x v="1"/>
    <n v="688.36"/>
    <x v="0"/>
  </r>
  <r>
    <s v="ORD201153"/>
    <d v="2024-12-16T00:00:00"/>
    <s v="C98317"/>
    <s v="Monitor"/>
    <n v="4"/>
    <n v="696.71"/>
    <s v="276 Main St"/>
    <s v="Debit Card"/>
    <s v="Shipped"/>
    <s v="TRK37172138"/>
    <n v="4"/>
    <s v="No Coupon"/>
    <x v="0"/>
    <n v="2786.84"/>
    <x v="1"/>
  </r>
  <r>
    <s v="ORD201154"/>
    <d v="2025-06-11T00:00:00"/>
    <s v="C53631"/>
    <s v="Monitor"/>
    <n v="3"/>
    <n v="198.63"/>
    <s v="593 Main St"/>
    <s v="Cash"/>
    <s v="Pending"/>
    <s v="TRK67589167"/>
    <n v="8"/>
    <s v="SAVE10"/>
    <x v="0"/>
    <n v="595.89"/>
    <x v="2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x v="3"/>
    <n v="2138.2800000000002"/>
    <x v="0"/>
  </r>
  <r>
    <s v="ORD201156"/>
    <d v="2023-07-19T00:00:00"/>
    <s v="C20512"/>
    <s v="Laptop"/>
    <n v="4"/>
    <n v="690.78"/>
    <s v="980 Main St"/>
    <s v="Credit Card"/>
    <s v="Shipped"/>
    <s v="TRK98234737"/>
    <n v="9"/>
    <s v="No Coupon"/>
    <x v="1"/>
    <n v="2763.12"/>
    <x v="0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x v="4"/>
    <n v="904.65000000000009"/>
    <x v="1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x v="1"/>
    <n v="109.68"/>
    <x v="0"/>
  </r>
  <r>
    <s v="ORD201159"/>
    <d v="2024-02-23T00:00:00"/>
    <s v="C66112"/>
    <s v="Desk"/>
    <n v="4"/>
    <n v="466.7"/>
    <s v="874 Main St"/>
    <s v="Debit Card"/>
    <s v="Returned"/>
    <s v="TRK60955607"/>
    <n v="8"/>
    <s v="No Coupon"/>
    <x v="0"/>
    <n v="1866.8"/>
    <x v="1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x v="2"/>
    <n v="541.64"/>
    <x v="1"/>
  </r>
  <r>
    <s v="ORD201161"/>
    <d v="2023-10-16T00:00:00"/>
    <s v="C32570"/>
    <s v="Phone"/>
    <n v="1"/>
    <n v="11.39"/>
    <s v="826 Main St"/>
    <s v="Cash"/>
    <s v="Cancelled"/>
    <s v="TRK35969968"/>
    <n v="6"/>
    <s v="WINTER15"/>
    <x v="2"/>
    <n v="11.39"/>
    <x v="0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x v="1"/>
    <n v="448.74"/>
    <x v="2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x v="0"/>
    <n v="918.87000000000012"/>
    <x v="1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x v="2"/>
    <n v="1577.85"/>
    <x v="1"/>
  </r>
  <r>
    <s v="ORD201165"/>
    <d v="2023-07-14T00:00:00"/>
    <s v="C36992"/>
    <s v="Chair"/>
    <n v="3"/>
    <n v="223.79"/>
    <s v="617 Main St"/>
    <s v="Debit Card"/>
    <s v="Pending"/>
    <s v="TRK63460217"/>
    <n v="3"/>
    <s v="No Coupon"/>
    <x v="4"/>
    <n v="671.37"/>
    <x v="0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x v="2"/>
    <n v="973.41000000000008"/>
    <x v="0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x v="3"/>
    <n v="185.74"/>
    <x v="0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x v="4"/>
    <n v="662.84"/>
    <x v="0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x v="0"/>
    <n v="525.42999999999995"/>
    <x v="1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x v="2"/>
    <n v="1394.38"/>
    <x v="0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x v="3"/>
    <n v="2073.6"/>
    <x v="0"/>
  </r>
  <r>
    <s v="ORD201172"/>
    <d v="2025-02-04T00:00:00"/>
    <s v="C28828"/>
    <s v="Desk"/>
    <n v="3"/>
    <n v="131.96"/>
    <s v="745 Main St"/>
    <s v="Credit Card"/>
    <s v="Pending"/>
    <s v="TRK32550359"/>
    <n v="8"/>
    <s v="No Coupon"/>
    <x v="0"/>
    <n v="395.88"/>
    <x v="2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x v="2"/>
    <n v="208.36"/>
    <x v="1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x v="2"/>
    <n v="667.02"/>
    <x v="0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x v="1"/>
    <n v="275.22000000000003"/>
    <x v="1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x v="2"/>
    <n v="427.66"/>
    <x v="0"/>
  </r>
  <r>
    <s v="ORD201177"/>
    <d v="2023-04-27T00:00:00"/>
    <s v="C23917"/>
    <s v="Printer"/>
    <n v="1"/>
    <n v="127.55"/>
    <s v="433 Main St"/>
    <s v="Cash"/>
    <s v="Shipped"/>
    <s v="TRK44434536"/>
    <n v="3"/>
    <s v="SAVE10"/>
    <x v="1"/>
    <n v="127.55"/>
    <x v="0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x v="4"/>
    <n v="70.239999999999995"/>
    <x v="1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x v="0"/>
    <n v="2592.75"/>
    <x v="0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x v="4"/>
    <n v="1193.44"/>
    <x v="0"/>
  </r>
  <r>
    <s v="ORD201181"/>
    <d v="2023-07-27T00:00:00"/>
    <s v="C70246"/>
    <s v="Desk"/>
    <n v="3"/>
    <n v="158.74"/>
    <s v="293 Main St"/>
    <s v="Online"/>
    <s v="Pending"/>
    <s v="TRK45708320"/>
    <n v="7"/>
    <s v="FREESHIP"/>
    <x v="0"/>
    <n v="476.22"/>
    <x v="0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x v="4"/>
    <n v="840.58"/>
    <x v="2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x v="1"/>
    <n v="281.52"/>
    <x v="0"/>
  </r>
  <r>
    <s v="ORD201184"/>
    <d v="2023-09-27T00:00:00"/>
    <s v="C10222"/>
    <s v="Laptop"/>
    <n v="1"/>
    <n v="204.08"/>
    <s v="979 Main St"/>
    <s v="Gift Card"/>
    <s v="Returned"/>
    <s v="TRK86297895"/>
    <n v="4"/>
    <s v="No Coupon"/>
    <x v="4"/>
    <n v="204.08"/>
    <x v="0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x v="4"/>
    <n v="343.31"/>
    <x v="1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x v="3"/>
    <n v="163.32"/>
    <x v="0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x v="2"/>
    <n v="369.2"/>
    <x v="1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x v="3"/>
    <n v="742.58"/>
    <x v="0"/>
  </r>
  <r>
    <s v="ORD201189"/>
    <d v="2024-08-17T00:00:00"/>
    <s v="C96136"/>
    <s v="Tablet"/>
    <n v="5"/>
    <n v="389.22"/>
    <s v="149 Main St"/>
    <s v="Cash"/>
    <s v="Cancelled"/>
    <s v="TRK60856682"/>
    <n v="7"/>
    <s v="No Coupon"/>
    <x v="1"/>
    <n v="1946.1"/>
    <x v="1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x v="0"/>
    <n v="1849.17"/>
    <x v="2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x v="0"/>
    <n v="1505.72"/>
    <x v="2"/>
  </r>
  <r>
    <s v="ORD201192"/>
    <d v="2024-02-28T00:00:00"/>
    <s v="C72007"/>
    <s v="Chair"/>
    <n v="3"/>
    <n v="432.85"/>
    <s v="999 Main St"/>
    <s v="Online"/>
    <s v="Pending"/>
    <s v="TRK16240916"/>
    <n v="4"/>
    <s v="No Coupon"/>
    <x v="0"/>
    <n v="1298.55"/>
    <x v="1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x v="2"/>
    <n v="687.89"/>
    <x v="2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x v="2"/>
    <n v="568.31999999999994"/>
    <x v="0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x v="4"/>
    <n v="107.04"/>
    <x v="1"/>
  </r>
  <r>
    <s v="ORD201196"/>
    <d v="2024-03-04T00:00:00"/>
    <s v="C20095"/>
    <s v="Monitor"/>
    <n v="2"/>
    <n v="662.53"/>
    <s v="778 Main St"/>
    <s v="Online"/>
    <s v="Cancelled"/>
    <s v="TRK69207593"/>
    <n v="5"/>
    <s v="No Coupon"/>
    <x v="3"/>
    <n v="1325.06"/>
    <x v="1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x v="0"/>
    <n v="873.68"/>
    <x v="0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x v="0"/>
    <n v="1050.08"/>
    <x v="1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x v="1"/>
    <n v="2242.32000000000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4">
  <location ref="D3:E9" firstHeaderRow="1" firstDataRow="1" firstDataCol="1"/>
  <pivotFields count="1">
    <pivotField axis="axisRow" dataField="1" showAll="0" sortType="descending">
      <items count="7">
        <item x="4"/>
        <item x="2"/>
        <item x="0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Method" fld="0" subtotal="count" showDataAs="percentOfTotal" baseField="0" baseItem="0" numFmtId="1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9">
  <location ref="A3:B9" firstHeaderRow="1" firstDataRow="1" firstDataCol="1"/>
  <pivotFields count="1">
    <pivotField axis="axisRow" dataField="1" showAll="0" sortType="descending">
      <items count="7">
        <item x="4"/>
        <item x="2"/>
        <item x="0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Method" fld="0" subtotal="count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3:B9" firstHeaderRow="1" firstDataRow="1" firstDataCol="1"/>
  <pivotFields count="1">
    <pivotField axis="axisRow" dataField="1" showAll="0" sortType="descending">
      <items count="7">
        <item x="1"/>
        <item x="3"/>
        <item x="4"/>
        <item x="2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Status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3:E9" firstHeaderRow="1" firstDataRow="1" firstDataCol="1"/>
  <pivotFields count="1">
    <pivotField axis="axisRow" dataField="1" showAll="0" sortType="descending">
      <items count="7">
        <item x="1"/>
        <item x="3"/>
        <item x="4"/>
        <item x="2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Status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3:E8" firstHeaderRow="1" firstDataRow="1" firstDataCol="1"/>
  <pivotFields count="1">
    <pivotField axis="axisRow" dataField="1" showAll="0" sortType="descending">
      <items count="6">
        <item x="1"/>
        <item x="2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CouponCod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3:B8" firstHeaderRow="1" firstDataRow="1" firstDataCol="1"/>
  <pivotFields count="1">
    <pivotField axis="axisRow" dataField="1" showAll="0" sortType="descending">
      <items count="6">
        <item x="1"/>
        <item x="2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CouponCode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3:B9" firstHeaderRow="1" firstDataRow="1" firstDataCol="1"/>
  <pivotFields count="1">
    <pivotField axis="axisRow" dataField="1" showAll="0" sortType="descending">
      <items count="7">
        <item x="2"/>
        <item x="3"/>
        <item x="4"/>
        <item x="0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ReferralSource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3:E9" firstHeaderRow="1" firstDataRow="1" firstDataCol="1"/>
  <pivotFields count="1">
    <pivotField axis="axisRow" dataField="1" showAll="0" sortType="descending">
      <items count="7">
        <item x="2"/>
        <item x="3"/>
        <item x="4"/>
        <item x="0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ReferralSourc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>
  <location ref="A3:B7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Price" fld="13" subtotal="average" baseField="0" baseItem="0" numFmtId="2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3" rowHeaderCaption="Product">
  <location ref="A3:B11" firstHeaderRow="1" firstDataRow="1" firstDataCol="1"/>
  <pivotFields count="1">
    <pivotField axis="axisRow" dataField="1" showAll="0" sortType="de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Product" fld="0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E1:I4" totalsRowShown="0">
  <autoFilter ref="E1:I4"/>
  <tableColumns count="5">
    <tableColumn id="1" name="Measure"/>
    <tableColumn id="2" name="Mean/Average" dataDxfId="1"/>
    <tableColumn id="3" name="Median" dataDxfId="0"/>
    <tableColumn id="4" name="Minimum"/>
    <tableColumn id="5" name="Maxim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23.44140625" bestFit="1" customWidth="1"/>
    <col min="4" max="4" width="12.5546875" bestFit="1" customWidth="1"/>
    <col min="5" max="5" width="23.44140625" customWidth="1"/>
  </cols>
  <sheetData>
    <row r="3" spans="1:5" x14ac:dyDescent="0.3">
      <c r="A3" s="5" t="s">
        <v>4295</v>
      </c>
      <c r="B3" t="s">
        <v>4296</v>
      </c>
      <c r="D3" s="5" t="s">
        <v>4295</v>
      </c>
      <c r="E3" t="s">
        <v>4296</v>
      </c>
    </row>
    <row r="4" spans="1:5" x14ac:dyDescent="0.3">
      <c r="A4" s="3" t="s">
        <v>3066</v>
      </c>
      <c r="B4" s="7">
        <v>258</v>
      </c>
      <c r="D4" s="3" t="s">
        <v>3066</v>
      </c>
      <c r="E4" s="6">
        <v>0.215</v>
      </c>
    </row>
    <row r="5" spans="1:5" x14ac:dyDescent="0.3">
      <c r="A5" s="3" t="s">
        <v>3069</v>
      </c>
      <c r="B5" s="7">
        <v>246</v>
      </c>
      <c r="D5" s="3" t="s">
        <v>3069</v>
      </c>
      <c r="E5" s="6">
        <v>0.20499999999999999</v>
      </c>
    </row>
    <row r="6" spans="1:5" x14ac:dyDescent="0.3">
      <c r="A6" s="3" t="s">
        <v>3067</v>
      </c>
      <c r="B6" s="7">
        <v>234</v>
      </c>
      <c r="D6" s="3" t="s">
        <v>3067</v>
      </c>
      <c r="E6" s="6">
        <v>0.19500000000000001</v>
      </c>
    </row>
    <row r="7" spans="1:5" x14ac:dyDescent="0.3">
      <c r="A7" s="3" t="s">
        <v>3065</v>
      </c>
      <c r="B7" s="7">
        <v>232</v>
      </c>
      <c r="D7" s="3" t="s">
        <v>3065</v>
      </c>
      <c r="E7" s="6">
        <v>0.19333333333333333</v>
      </c>
    </row>
    <row r="8" spans="1:5" x14ac:dyDescent="0.3">
      <c r="A8" s="3" t="s">
        <v>3068</v>
      </c>
      <c r="B8" s="7">
        <v>230</v>
      </c>
      <c r="D8" s="3" t="s">
        <v>3068</v>
      </c>
      <c r="E8" s="6">
        <v>0.19166666666666668</v>
      </c>
    </row>
    <row r="9" spans="1:5" x14ac:dyDescent="0.3">
      <c r="A9" s="3" t="s">
        <v>4293</v>
      </c>
      <c r="B9" s="7">
        <v>1200</v>
      </c>
      <c r="D9" s="3" t="s">
        <v>4293</v>
      </c>
      <c r="E9" s="6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19" bestFit="1" customWidth="1"/>
    <col min="4" max="4" width="12.5546875" bestFit="1" customWidth="1"/>
    <col min="5" max="5" width="19" customWidth="1"/>
  </cols>
  <sheetData>
    <row r="3" spans="1:5" x14ac:dyDescent="0.3">
      <c r="A3" s="5" t="s">
        <v>4295</v>
      </c>
      <c r="B3" t="s">
        <v>4297</v>
      </c>
      <c r="D3" s="5" t="s">
        <v>4295</v>
      </c>
      <c r="E3" t="s">
        <v>4297</v>
      </c>
    </row>
    <row r="4" spans="1:5" x14ac:dyDescent="0.3">
      <c r="A4" s="3" t="s">
        <v>3071</v>
      </c>
      <c r="B4" s="7">
        <v>250</v>
      </c>
      <c r="D4" s="3" t="s">
        <v>3071</v>
      </c>
      <c r="E4" s="6">
        <v>0.20833333333333334</v>
      </c>
    </row>
    <row r="5" spans="1:5" x14ac:dyDescent="0.3">
      <c r="A5" s="3" t="s">
        <v>3072</v>
      </c>
      <c r="B5" s="7">
        <v>247</v>
      </c>
      <c r="D5" s="3" t="s">
        <v>3072</v>
      </c>
      <c r="E5" s="6">
        <v>0.20583333333333334</v>
      </c>
    </row>
    <row r="6" spans="1:5" x14ac:dyDescent="0.3">
      <c r="A6" s="3" t="s">
        <v>3074</v>
      </c>
      <c r="B6" s="7">
        <v>237</v>
      </c>
      <c r="D6" s="3" t="s">
        <v>3074</v>
      </c>
      <c r="E6" s="6">
        <v>0.19750000000000001</v>
      </c>
    </row>
    <row r="7" spans="1:5" x14ac:dyDescent="0.3">
      <c r="A7" s="3" t="s">
        <v>3070</v>
      </c>
      <c r="B7" s="7">
        <v>235</v>
      </c>
      <c r="D7" s="3" t="s">
        <v>3070</v>
      </c>
      <c r="E7" s="6">
        <v>0.19583333333333333</v>
      </c>
    </row>
    <row r="8" spans="1:5" x14ac:dyDescent="0.3">
      <c r="A8" s="3" t="s">
        <v>3073</v>
      </c>
      <c r="B8" s="7">
        <v>231</v>
      </c>
      <c r="D8" s="3" t="s">
        <v>3073</v>
      </c>
      <c r="E8" s="6">
        <v>0.1925</v>
      </c>
    </row>
    <row r="9" spans="1:5" x14ac:dyDescent="0.3">
      <c r="A9" s="3" t="s">
        <v>4293</v>
      </c>
      <c r="B9" s="7">
        <v>1200</v>
      </c>
      <c r="D9" s="3" t="s">
        <v>4293</v>
      </c>
      <c r="E9" s="6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workbookViewId="0">
      <selection activeCell="G9" sqref="G9"/>
    </sheetView>
  </sheetViews>
  <sheetFormatPr defaultRowHeight="14.4" x14ac:dyDescent="0.3"/>
  <cols>
    <col min="1" max="1" width="12.5546875" bestFit="1" customWidth="1"/>
    <col min="2" max="2" width="20" bestFit="1" customWidth="1"/>
    <col min="4" max="4" width="12.5546875" bestFit="1" customWidth="1"/>
    <col min="5" max="5" width="34.109375" customWidth="1"/>
  </cols>
  <sheetData>
    <row r="3" spans="1:5" x14ac:dyDescent="0.3">
      <c r="A3" s="5" t="s">
        <v>4295</v>
      </c>
      <c r="B3" t="s">
        <v>4298</v>
      </c>
      <c r="D3" s="5" t="s">
        <v>4295</v>
      </c>
      <c r="E3" t="s">
        <v>4298</v>
      </c>
    </row>
    <row r="4" spans="1:5" x14ac:dyDescent="0.3">
      <c r="A4" s="3" t="s">
        <v>4276</v>
      </c>
      <c r="B4" s="7">
        <v>313</v>
      </c>
      <c r="D4" s="3" t="s">
        <v>4276</v>
      </c>
      <c r="E4" s="6">
        <v>0.26083333333333331</v>
      </c>
    </row>
    <row r="5" spans="1:5" x14ac:dyDescent="0.3">
      <c r="A5" s="3" t="s">
        <v>4283</v>
      </c>
      <c r="B5" s="7">
        <v>309</v>
      </c>
      <c r="D5" s="3" t="s">
        <v>4283</v>
      </c>
      <c r="E5" s="6">
        <v>0.25750000000000001</v>
      </c>
    </row>
    <row r="6" spans="1:5" x14ac:dyDescent="0.3">
      <c r="A6" s="3" t="s">
        <v>4277</v>
      </c>
      <c r="B6" s="7">
        <v>292</v>
      </c>
      <c r="D6" s="3" t="s">
        <v>4277</v>
      </c>
      <c r="E6" s="6">
        <v>0.24333333333333335</v>
      </c>
    </row>
    <row r="7" spans="1:5" x14ac:dyDescent="0.3">
      <c r="A7" s="3" t="s">
        <v>4275</v>
      </c>
      <c r="B7" s="7">
        <v>286</v>
      </c>
      <c r="D7" s="3" t="s">
        <v>4275</v>
      </c>
      <c r="E7" s="6">
        <v>0.23833333333333334</v>
      </c>
    </row>
    <row r="8" spans="1:5" x14ac:dyDescent="0.3">
      <c r="A8" s="3" t="s">
        <v>4293</v>
      </c>
      <c r="B8" s="7">
        <v>1200</v>
      </c>
      <c r="D8" s="3" t="s">
        <v>4293</v>
      </c>
      <c r="E8" s="6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21.44140625" bestFit="1" customWidth="1"/>
    <col min="4" max="4" width="12.5546875" bestFit="1" customWidth="1"/>
    <col min="5" max="5" width="21.44140625" customWidth="1"/>
  </cols>
  <sheetData>
    <row r="3" spans="1:5" x14ac:dyDescent="0.3">
      <c r="A3" s="5" t="s">
        <v>4295</v>
      </c>
      <c r="B3" t="s">
        <v>4299</v>
      </c>
      <c r="D3" s="5" t="s">
        <v>4295</v>
      </c>
      <c r="E3" t="s">
        <v>4299</v>
      </c>
    </row>
    <row r="4" spans="1:5" x14ac:dyDescent="0.3">
      <c r="A4" s="3" t="s">
        <v>4278</v>
      </c>
      <c r="B4" s="7">
        <v>259</v>
      </c>
      <c r="D4" s="3" t="s">
        <v>4278</v>
      </c>
      <c r="E4" s="6">
        <v>0.21583333333333332</v>
      </c>
    </row>
    <row r="5" spans="1:5" x14ac:dyDescent="0.3">
      <c r="A5" s="3" t="s">
        <v>4280</v>
      </c>
      <c r="B5" s="7">
        <v>250</v>
      </c>
      <c r="D5" s="3" t="s">
        <v>4280</v>
      </c>
      <c r="E5" s="6">
        <v>0.20833333333333334</v>
      </c>
    </row>
    <row r="6" spans="1:5" x14ac:dyDescent="0.3">
      <c r="A6" s="3" t="s">
        <v>4282</v>
      </c>
      <c r="B6" s="7">
        <v>241</v>
      </c>
      <c r="D6" s="3" t="s">
        <v>4282</v>
      </c>
      <c r="E6" s="6">
        <v>0.20083333333333334</v>
      </c>
    </row>
    <row r="7" spans="1:5" x14ac:dyDescent="0.3">
      <c r="A7" s="3" t="s">
        <v>4281</v>
      </c>
      <c r="B7" s="7">
        <v>228</v>
      </c>
      <c r="D7" s="3" t="s">
        <v>4281</v>
      </c>
      <c r="E7" s="6">
        <v>0.19</v>
      </c>
    </row>
    <row r="8" spans="1:5" x14ac:dyDescent="0.3">
      <c r="A8" s="3" t="s">
        <v>4279</v>
      </c>
      <c r="B8" s="7">
        <v>222</v>
      </c>
      <c r="D8" s="3" t="s">
        <v>4279</v>
      </c>
      <c r="E8" s="6">
        <v>0.185</v>
      </c>
    </row>
    <row r="9" spans="1:5" x14ac:dyDescent="0.3">
      <c r="A9" s="3" t="s">
        <v>4293</v>
      </c>
      <c r="B9" s="7">
        <v>1200</v>
      </c>
      <c r="D9" s="3" t="s">
        <v>4293</v>
      </c>
      <c r="E9" s="6">
        <v>1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23" sqref="A1:B23"/>
    </sheetView>
  </sheetViews>
  <sheetFormatPr defaultRowHeight="14.4" x14ac:dyDescent="0.3"/>
  <cols>
    <col min="1" max="1" width="12.5546875" bestFit="1" customWidth="1"/>
    <col min="2" max="2" width="19.109375" style="4" bestFit="1" customWidth="1"/>
  </cols>
  <sheetData>
    <row r="3" spans="1:2" x14ac:dyDescent="0.3">
      <c r="A3" s="5" t="s">
        <v>4295</v>
      </c>
      <c r="B3" s="4" t="s">
        <v>4301</v>
      </c>
    </row>
    <row r="4" spans="1:2" x14ac:dyDescent="0.3">
      <c r="A4" s="3">
        <v>2023</v>
      </c>
      <c r="B4" s="4">
        <v>1083.614196078431</v>
      </c>
    </row>
    <row r="5" spans="1:2" x14ac:dyDescent="0.3">
      <c r="A5" s="3">
        <v>2024</v>
      </c>
      <c r="B5" s="4">
        <v>1046.2655119825715</v>
      </c>
    </row>
    <row r="6" spans="1:2" x14ac:dyDescent="0.3">
      <c r="A6" s="3">
        <v>2025</v>
      </c>
      <c r="B6" s="4">
        <v>1003.8218614718618</v>
      </c>
    </row>
    <row r="7" spans="1:2" x14ac:dyDescent="0.3">
      <c r="A7" s="3" t="s">
        <v>4293</v>
      </c>
      <c r="B7" s="4">
        <v>1053.9682999999991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201"/>
  <sheetViews>
    <sheetView workbookViewId="0">
      <selection activeCell="O6" sqref="O6"/>
    </sheetView>
  </sheetViews>
  <sheetFormatPr defaultRowHeight="14.4" x14ac:dyDescent="0.3"/>
  <cols>
    <col min="1" max="1" width="12.33203125" customWidth="1"/>
    <col min="2" max="2" width="13.21875" customWidth="1"/>
    <col min="3" max="3" width="12.88671875" customWidth="1"/>
    <col min="7" max="7" width="14.88671875" customWidth="1"/>
    <col min="8" max="8" width="17.21875" customWidth="1"/>
    <col min="9" max="9" width="14.88671875" customWidth="1"/>
    <col min="10" max="10" width="17.109375" customWidth="1"/>
    <col min="11" max="11" width="11.5546875" customWidth="1"/>
    <col min="12" max="12" width="11.109375" customWidth="1"/>
    <col min="13" max="13" width="13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4300</v>
      </c>
    </row>
    <row r="2" spans="1:1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YEAR(B2)</f>
        <v>2023</v>
      </c>
    </row>
    <row r="3" spans="1:15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YEAR(B3)</f>
        <v>2024</v>
      </c>
    </row>
    <row r="4" spans="1:15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2024</v>
      </c>
    </row>
    <row r="5" spans="1:15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2023</v>
      </c>
    </row>
    <row r="6" spans="1:15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2025</v>
      </c>
    </row>
    <row r="7" spans="1:15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2023</v>
      </c>
    </row>
    <row r="8" spans="1:15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2025</v>
      </c>
    </row>
    <row r="9" spans="1:15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2023</v>
      </c>
    </row>
    <row r="10" spans="1:15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2025</v>
      </c>
    </row>
    <row r="11" spans="1:15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2023</v>
      </c>
    </row>
    <row r="12" spans="1:15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2023</v>
      </c>
    </row>
    <row r="13" spans="1:15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2024</v>
      </c>
    </row>
    <row r="14" spans="1:15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2024</v>
      </c>
    </row>
    <row r="15" spans="1:15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2023</v>
      </c>
    </row>
    <row r="16" spans="1:15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2023</v>
      </c>
    </row>
    <row r="17" spans="1:15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2023</v>
      </c>
    </row>
    <row r="18" spans="1:15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2023</v>
      </c>
    </row>
    <row r="19" spans="1:15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2024</v>
      </c>
    </row>
    <row r="20" spans="1:15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2025</v>
      </c>
    </row>
    <row r="21" spans="1:15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2023</v>
      </c>
    </row>
    <row r="22" spans="1:15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2023</v>
      </c>
    </row>
    <row r="23" spans="1:15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2024</v>
      </c>
    </row>
    <row r="24" spans="1:15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2023</v>
      </c>
    </row>
    <row r="25" spans="1:15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2025</v>
      </c>
    </row>
    <row r="26" spans="1:15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2024</v>
      </c>
    </row>
    <row r="27" spans="1:15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2024</v>
      </c>
    </row>
    <row r="28" spans="1:15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2024</v>
      </c>
    </row>
    <row r="29" spans="1:15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2024</v>
      </c>
    </row>
    <row r="30" spans="1:15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2023</v>
      </c>
    </row>
    <row r="31" spans="1:15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2024</v>
      </c>
    </row>
    <row r="32" spans="1:15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2025</v>
      </c>
    </row>
    <row r="33" spans="1:15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2023</v>
      </c>
    </row>
    <row r="34" spans="1:15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2023</v>
      </c>
    </row>
    <row r="35" spans="1:15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2023</v>
      </c>
    </row>
    <row r="36" spans="1:15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2023</v>
      </c>
    </row>
    <row r="37" spans="1:15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2024</v>
      </c>
    </row>
    <row r="38" spans="1:15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2025</v>
      </c>
    </row>
    <row r="39" spans="1:15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2024</v>
      </c>
    </row>
    <row r="40" spans="1:15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2024</v>
      </c>
    </row>
    <row r="41" spans="1:15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2025</v>
      </c>
    </row>
    <row r="42" spans="1:15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2023</v>
      </c>
    </row>
    <row r="43" spans="1:15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2023</v>
      </c>
    </row>
    <row r="44" spans="1:15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2024</v>
      </c>
    </row>
    <row r="45" spans="1:15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2023</v>
      </c>
    </row>
    <row r="46" spans="1:15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2025</v>
      </c>
    </row>
    <row r="47" spans="1:15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2024</v>
      </c>
    </row>
    <row r="48" spans="1:15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2024</v>
      </c>
    </row>
    <row r="49" spans="1:15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2023</v>
      </c>
    </row>
    <row r="50" spans="1:15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2023</v>
      </c>
    </row>
    <row r="51" spans="1:15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2023</v>
      </c>
    </row>
    <row r="52" spans="1:15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2023</v>
      </c>
    </row>
    <row r="53" spans="1:15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2024</v>
      </c>
    </row>
    <row r="54" spans="1:15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2024</v>
      </c>
    </row>
    <row r="55" spans="1:15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2024</v>
      </c>
    </row>
    <row r="56" spans="1:15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2025</v>
      </c>
    </row>
    <row r="57" spans="1:15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2025</v>
      </c>
    </row>
    <row r="58" spans="1:15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2023</v>
      </c>
    </row>
    <row r="59" spans="1:15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2023</v>
      </c>
    </row>
    <row r="60" spans="1:15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2023</v>
      </c>
    </row>
    <row r="61" spans="1:15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2024</v>
      </c>
    </row>
    <row r="62" spans="1:15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2024</v>
      </c>
    </row>
    <row r="63" spans="1:15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2024</v>
      </c>
    </row>
    <row r="64" spans="1:15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2023</v>
      </c>
    </row>
    <row r="65" spans="1:15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2025</v>
      </c>
    </row>
    <row r="66" spans="1:15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2025</v>
      </c>
    </row>
    <row r="67" spans="1:15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">YEAR(B67)</f>
        <v>2023</v>
      </c>
    </row>
    <row r="68" spans="1:15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2024</v>
      </c>
    </row>
    <row r="69" spans="1:15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2024</v>
      </c>
    </row>
    <row r="70" spans="1:15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2023</v>
      </c>
    </row>
    <row r="71" spans="1:15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2023</v>
      </c>
    </row>
    <row r="72" spans="1:15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2023</v>
      </c>
    </row>
    <row r="73" spans="1:15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2025</v>
      </c>
    </row>
    <row r="74" spans="1:15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2024</v>
      </c>
    </row>
    <row r="75" spans="1:15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2023</v>
      </c>
    </row>
    <row r="76" spans="1:15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2023</v>
      </c>
    </row>
    <row r="77" spans="1:15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2023</v>
      </c>
    </row>
    <row r="78" spans="1:15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2024</v>
      </c>
    </row>
    <row r="79" spans="1:15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2024</v>
      </c>
    </row>
    <row r="80" spans="1:15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2024</v>
      </c>
    </row>
    <row r="81" spans="1:15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2025</v>
      </c>
    </row>
    <row r="82" spans="1:15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2023</v>
      </c>
    </row>
    <row r="83" spans="1:15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2023</v>
      </c>
    </row>
    <row r="84" spans="1:15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2024</v>
      </c>
    </row>
    <row r="85" spans="1:15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2023</v>
      </c>
    </row>
    <row r="86" spans="1:15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2023</v>
      </c>
    </row>
    <row r="87" spans="1:15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2024</v>
      </c>
    </row>
    <row r="88" spans="1:15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2024</v>
      </c>
    </row>
    <row r="89" spans="1:15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2024</v>
      </c>
    </row>
    <row r="90" spans="1:15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2025</v>
      </c>
    </row>
    <row r="91" spans="1:15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2025</v>
      </c>
    </row>
    <row r="92" spans="1:15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2023</v>
      </c>
    </row>
    <row r="93" spans="1:15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2023</v>
      </c>
    </row>
    <row r="94" spans="1:15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2024</v>
      </c>
    </row>
    <row r="95" spans="1:15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2023</v>
      </c>
    </row>
    <row r="96" spans="1:15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2023</v>
      </c>
    </row>
    <row r="97" spans="1:15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2023</v>
      </c>
    </row>
    <row r="98" spans="1:15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2024</v>
      </c>
    </row>
    <row r="99" spans="1:15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2025</v>
      </c>
    </row>
    <row r="100" spans="1:15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2023</v>
      </c>
    </row>
    <row r="101" spans="1:15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2025</v>
      </c>
    </row>
    <row r="102" spans="1:15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2023</v>
      </c>
    </row>
    <row r="103" spans="1:15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2023</v>
      </c>
    </row>
    <row r="104" spans="1:15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2023</v>
      </c>
    </row>
    <row r="105" spans="1:15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2025</v>
      </c>
    </row>
    <row r="106" spans="1:15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2024</v>
      </c>
    </row>
    <row r="107" spans="1:15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2024</v>
      </c>
    </row>
    <row r="108" spans="1:15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2023</v>
      </c>
    </row>
    <row r="109" spans="1:15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2023</v>
      </c>
    </row>
    <row r="110" spans="1:15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2024</v>
      </c>
    </row>
    <row r="111" spans="1:15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2023</v>
      </c>
    </row>
    <row r="112" spans="1:15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2024</v>
      </c>
    </row>
    <row r="113" spans="1:15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2025</v>
      </c>
    </row>
    <row r="114" spans="1:15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2023</v>
      </c>
    </row>
    <row r="115" spans="1:15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2024</v>
      </c>
    </row>
    <row r="116" spans="1:15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2025</v>
      </c>
    </row>
    <row r="117" spans="1:15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2023</v>
      </c>
    </row>
    <row r="118" spans="1:15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2023</v>
      </c>
    </row>
    <row r="119" spans="1:15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2023</v>
      </c>
    </row>
    <row r="120" spans="1:15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2023</v>
      </c>
    </row>
    <row r="121" spans="1:15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2025</v>
      </c>
    </row>
    <row r="122" spans="1:15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2023</v>
      </c>
    </row>
    <row r="123" spans="1:15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2023</v>
      </c>
    </row>
    <row r="124" spans="1:15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2024</v>
      </c>
    </row>
    <row r="125" spans="1:15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2023</v>
      </c>
    </row>
    <row r="126" spans="1:15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2024</v>
      </c>
    </row>
    <row r="127" spans="1:15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2024</v>
      </c>
    </row>
    <row r="128" spans="1:15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2025</v>
      </c>
    </row>
    <row r="129" spans="1:15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2023</v>
      </c>
    </row>
    <row r="130" spans="1:15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2023</v>
      </c>
    </row>
    <row r="131" spans="1:15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YEAR(B131)</f>
        <v>2023</v>
      </c>
    </row>
    <row r="132" spans="1:15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2025</v>
      </c>
    </row>
    <row r="133" spans="1:15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2023</v>
      </c>
    </row>
    <row r="134" spans="1:15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2023</v>
      </c>
    </row>
    <row r="135" spans="1:15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2025</v>
      </c>
    </row>
    <row r="136" spans="1:15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2025</v>
      </c>
    </row>
    <row r="137" spans="1:15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2023</v>
      </c>
    </row>
    <row r="138" spans="1:15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2024</v>
      </c>
    </row>
    <row r="139" spans="1:15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2024</v>
      </c>
    </row>
    <row r="140" spans="1:15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2023</v>
      </c>
    </row>
    <row r="141" spans="1:15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2023</v>
      </c>
    </row>
    <row r="142" spans="1:15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2025</v>
      </c>
    </row>
    <row r="143" spans="1:15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2023</v>
      </c>
    </row>
    <row r="144" spans="1:15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2023</v>
      </c>
    </row>
    <row r="145" spans="1:15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2024</v>
      </c>
    </row>
    <row r="146" spans="1:15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2023</v>
      </c>
    </row>
    <row r="147" spans="1:15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2024</v>
      </c>
    </row>
    <row r="148" spans="1:15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2025</v>
      </c>
    </row>
    <row r="149" spans="1:15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2025</v>
      </c>
    </row>
    <row r="150" spans="1:15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2024</v>
      </c>
    </row>
    <row r="151" spans="1:15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2023</v>
      </c>
    </row>
    <row r="152" spans="1:15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2023</v>
      </c>
    </row>
    <row r="153" spans="1:15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2023</v>
      </c>
    </row>
    <row r="154" spans="1:15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2025</v>
      </c>
    </row>
    <row r="155" spans="1:15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2024</v>
      </c>
    </row>
    <row r="156" spans="1:15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2023</v>
      </c>
    </row>
    <row r="157" spans="1:15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2023</v>
      </c>
    </row>
    <row r="158" spans="1:15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2024</v>
      </c>
    </row>
    <row r="159" spans="1:15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2025</v>
      </c>
    </row>
    <row r="160" spans="1:15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2024</v>
      </c>
    </row>
    <row r="161" spans="1:15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2023</v>
      </c>
    </row>
    <row r="162" spans="1:15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2023</v>
      </c>
    </row>
    <row r="163" spans="1:15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2024</v>
      </c>
    </row>
    <row r="164" spans="1:15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2023</v>
      </c>
    </row>
    <row r="165" spans="1:15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2025</v>
      </c>
    </row>
    <row r="166" spans="1:15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2023</v>
      </c>
    </row>
    <row r="167" spans="1:15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2024</v>
      </c>
    </row>
    <row r="168" spans="1:15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2025</v>
      </c>
    </row>
    <row r="169" spans="1:15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2023</v>
      </c>
    </row>
    <row r="170" spans="1:15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2025</v>
      </c>
    </row>
    <row r="171" spans="1:15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2024</v>
      </c>
    </row>
    <row r="172" spans="1:15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2025</v>
      </c>
    </row>
    <row r="173" spans="1:15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2023</v>
      </c>
    </row>
    <row r="174" spans="1:15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2025</v>
      </c>
    </row>
    <row r="175" spans="1:15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2024</v>
      </c>
    </row>
    <row r="176" spans="1:15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2024</v>
      </c>
    </row>
    <row r="177" spans="1:15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2025</v>
      </c>
    </row>
    <row r="178" spans="1:15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2025</v>
      </c>
    </row>
    <row r="179" spans="1:15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2023</v>
      </c>
    </row>
    <row r="180" spans="1:15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2024</v>
      </c>
    </row>
    <row r="181" spans="1:15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2024</v>
      </c>
    </row>
    <row r="182" spans="1:15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2023</v>
      </c>
    </row>
    <row r="183" spans="1:15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2024</v>
      </c>
    </row>
    <row r="184" spans="1:15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2025</v>
      </c>
    </row>
    <row r="185" spans="1:15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2024</v>
      </c>
    </row>
    <row r="186" spans="1:15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2024</v>
      </c>
    </row>
    <row r="187" spans="1:15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2025</v>
      </c>
    </row>
    <row r="188" spans="1:15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2023</v>
      </c>
    </row>
    <row r="189" spans="1:15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2023</v>
      </c>
    </row>
    <row r="190" spans="1:15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2025</v>
      </c>
    </row>
    <row r="191" spans="1:15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2023</v>
      </c>
    </row>
    <row r="192" spans="1:15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2024</v>
      </c>
    </row>
    <row r="193" spans="1:15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2025</v>
      </c>
    </row>
    <row r="194" spans="1:15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2023</v>
      </c>
    </row>
    <row r="195" spans="1:15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3">YEAR(B195)</f>
        <v>2023</v>
      </c>
    </row>
    <row r="196" spans="1:15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2024</v>
      </c>
    </row>
    <row r="197" spans="1:15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2024</v>
      </c>
    </row>
    <row r="198" spans="1:15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2025</v>
      </c>
    </row>
    <row r="199" spans="1:15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2023</v>
      </c>
    </row>
    <row r="200" spans="1:15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2024</v>
      </c>
    </row>
    <row r="201" spans="1:15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2025</v>
      </c>
    </row>
    <row r="202" spans="1:15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2025</v>
      </c>
    </row>
    <row r="203" spans="1:15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2023</v>
      </c>
    </row>
    <row r="204" spans="1:15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2025</v>
      </c>
    </row>
    <row r="205" spans="1:15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2025</v>
      </c>
    </row>
    <row r="206" spans="1:15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2023</v>
      </c>
    </row>
    <row r="207" spans="1:15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2023</v>
      </c>
    </row>
    <row r="208" spans="1:15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2024</v>
      </c>
    </row>
    <row r="209" spans="1:15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2025</v>
      </c>
    </row>
    <row r="210" spans="1:15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2024</v>
      </c>
    </row>
    <row r="211" spans="1:15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2023</v>
      </c>
    </row>
    <row r="212" spans="1:15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2024</v>
      </c>
    </row>
    <row r="213" spans="1:15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2025</v>
      </c>
    </row>
    <row r="214" spans="1:15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2023</v>
      </c>
    </row>
    <row r="215" spans="1:15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2023</v>
      </c>
    </row>
    <row r="216" spans="1:15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2024</v>
      </c>
    </row>
    <row r="217" spans="1:15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2023</v>
      </c>
    </row>
    <row r="218" spans="1:15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2025</v>
      </c>
    </row>
    <row r="219" spans="1:15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2024</v>
      </c>
    </row>
    <row r="220" spans="1:15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2023</v>
      </c>
    </row>
    <row r="221" spans="1:15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2025</v>
      </c>
    </row>
    <row r="222" spans="1:15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2023</v>
      </c>
    </row>
    <row r="223" spans="1:15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2024</v>
      </c>
    </row>
    <row r="224" spans="1:15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2023</v>
      </c>
    </row>
    <row r="225" spans="1:15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2024</v>
      </c>
    </row>
    <row r="226" spans="1:15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2023</v>
      </c>
    </row>
    <row r="227" spans="1:15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2024</v>
      </c>
    </row>
    <row r="228" spans="1:15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2025</v>
      </c>
    </row>
    <row r="229" spans="1:15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2023</v>
      </c>
    </row>
    <row r="230" spans="1:15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2023</v>
      </c>
    </row>
    <row r="231" spans="1:15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2025</v>
      </c>
    </row>
    <row r="232" spans="1:15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2023</v>
      </c>
    </row>
    <row r="233" spans="1:15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2023</v>
      </c>
    </row>
    <row r="234" spans="1:15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2023</v>
      </c>
    </row>
    <row r="235" spans="1:15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2024</v>
      </c>
    </row>
    <row r="236" spans="1:15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2024</v>
      </c>
    </row>
    <row r="237" spans="1:15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2023</v>
      </c>
    </row>
    <row r="238" spans="1:15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2023</v>
      </c>
    </row>
    <row r="239" spans="1:15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2024</v>
      </c>
    </row>
    <row r="240" spans="1:15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2024</v>
      </c>
    </row>
    <row r="241" spans="1:15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2024</v>
      </c>
    </row>
    <row r="242" spans="1:15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2023</v>
      </c>
    </row>
    <row r="243" spans="1:15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2023</v>
      </c>
    </row>
    <row r="244" spans="1:15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2023</v>
      </c>
    </row>
    <row r="245" spans="1:15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2025</v>
      </c>
    </row>
    <row r="246" spans="1:15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2023</v>
      </c>
    </row>
    <row r="247" spans="1:15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2025</v>
      </c>
    </row>
    <row r="248" spans="1:15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2024</v>
      </c>
    </row>
    <row r="249" spans="1:15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2023</v>
      </c>
    </row>
    <row r="250" spans="1:15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2023</v>
      </c>
    </row>
    <row r="251" spans="1:15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2024</v>
      </c>
    </row>
    <row r="252" spans="1:15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2023</v>
      </c>
    </row>
    <row r="253" spans="1:15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2025</v>
      </c>
    </row>
    <row r="254" spans="1:15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2024</v>
      </c>
    </row>
    <row r="255" spans="1:15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2024</v>
      </c>
    </row>
    <row r="256" spans="1:15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2023</v>
      </c>
    </row>
    <row r="257" spans="1:15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2024</v>
      </c>
    </row>
    <row r="258" spans="1:15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2025</v>
      </c>
    </row>
    <row r="259" spans="1:15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YEAR(B259)</f>
        <v>2024</v>
      </c>
    </row>
    <row r="260" spans="1:15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2024</v>
      </c>
    </row>
    <row r="261" spans="1:15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2023</v>
      </c>
    </row>
    <row r="262" spans="1:15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2023</v>
      </c>
    </row>
    <row r="263" spans="1:15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2025</v>
      </c>
    </row>
    <row r="264" spans="1:15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2023</v>
      </c>
    </row>
    <row r="265" spans="1:15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2023</v>
      </c>
    </row>
    <row r="266" spans="1:15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2024</v>
      </c>
    </row>
    <row r="267" spans="1:15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2023</v>
      </c>
    </row>
    <row r="268" spans="1:15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2024</v>
      </c>
    </row>
    <row r="269" spans="1:15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2025</v>
      </c>
    </row>
    <row r="270" spans="1:15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2023</v>
      </c>
    </row>
    <row r="271" spans="1:15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2023</v>
      </c>
    </row>
    <row r="272" spans="1:15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2023</v>
      </c>
    </row>
    <row r="273" spans="1:15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2023</v>
      </c>
    </row>
    <row r="274" spans="1:15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2023</v>
      </c>
    </row>
    <row r="275" spans="1:15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2024</v>
      </c>
    </row>
    <row r="276" spans="1:15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2023</v>
      </c>
    </row>
    <row r="277" spans="1:15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2023</v>
      </c>
    </row>
    <row r="278" spans="1:15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2025</v>
      </c>
    </row>
    <row r="279" spans="1:15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2024</v>
      </c>
    </row>
    <row r="280" spans="1:15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2024</v>
      </c>
    </row>
    <row r="281" spans="1:15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2023</v>
      </c>
    </row>
    <row r="282" spans="1:15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2023</v>
      </c>
    </row>
    <row r="283" spans="1:15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2023</v>
      </c>
    </row>
    <row r="284" spans="1:15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2025</v>
      </c>
    </row>
    <row r="285" spans="1:15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2025</v>
      </c>
    </row>
    <row r="286" spans="1:15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2023</v>
      </c>
    </row>
    <row r="287" spans="1:15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2025</v>
      </c>
    </row>
    <row r="288" spans="1:15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2025</v>
      </c>
    </row>
    <row r="289" spans="1:15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2023</v>
      </c>
    </row>
    <row r="290" spans="1:15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2023</v>
      </c>
    </row>
    <row r="291" spans="1:15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2023</v>
      </c>
    </row>
    <row r="292" spans="1:15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2023</v>
      </c>
    </row>
    <row r="293" spans="1:15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2024</v>
      </c>
    </row>
    <row r="294" spans="1:15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2025</v>
      </c>
    </row>
    <row r="295" spans="1:15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2023</v>
      </c>
    </row>
    <row r="296" spans="1:15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2025</v>
      </c>
    </row>
    <row r="297" spans="1:15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2023</v>
      </c>
    </row>
    <row r="298" spans="1:15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2024</v>
      </c>
    </row>
    <row r="299" spans="1:15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2023</v>
      </c>
    </row>
    <row r="300" spans="1:15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2023</v>
      </c>
    </row>
    <row r="301" spans="1:15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2024</v>
      </c>
    </row>
    <row r="302" spans="1:15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2024</v>
      </c>
    </row>
    <row r="303" spans="1:15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2023</v>
      </c>
    </row>
    <row r="304" spans="1:15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2023</v>
      </c>
    </row>
    <row r="305" spans="1:15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2024</v>
      </c>
    </row>
    <row r="306" spans="1:15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2024</v>
      </c>
    </row>
    <row r="307" spans="1:15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2023</v>
      </c>
    </row>
    <row r="308" spans="1:15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2024</v>
      </c>
    </row>
    <row r="309" spans="1:15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2023</v>
      </c>
    </row>
    <row r="310" spans="1:15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2023</v>
      </c>
    </row>
    <row r="311" spans="1:15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2023</v>
      </c>
    </row>
    <row r="312" spans="1:15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2024</v>
      </c>
    </row>
    <row r="313" spans="1:15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2025</v>
      </c>
    </row>
    <row r="314" spans="1:15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2025</v>
      </c>
    </row>
    <row r="315" spans="1:15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2023</v>
      </c>
    </row>
    <row r="316" spans="1:15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2023</v>
      </c>
    </row>
    <row r="317" spans="1:15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2025</v>
      </c>
    </row>
    <row r="318" spans="1:15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2023</v>
      </c>
    </row>
    <row r="319" spans="1:15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2023</v>
      </c>
    </row>
    <row r="320" spans="1:15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2024</v>
      </c>
    </row>
    <row r="321" spans="1:15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2023</v>
      </c>
    </row>
    <row r="322" spans="1:15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2024</v>
      </c>
    </row>
    <row r="323" spans="1:15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YEAR(B323)</f>
        <v>2023</v>
      </c>
    </row>
    <row r="324" spans="1:15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2024</v>
      </c>
    </row>
    <row r="325" spans="1:15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2025</v>
      </c>
    </row>
    <row r="326" spans="1:15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2024</v>
      </c>
    </row>
    <row r="327" spans="1:15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2023</v>
      </c>
    </row>
    <row r="328" spans="1:15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2024</v>
      </c>
    </row>
    <row r="329" spans="1:15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2023</v>
      </c>
    </row>
    <row r="330" spans="1:15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2023</v>
      </c>
    </row>
    <row r="331" spans="1:15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2024</v>
      </c>
    </row>
    <row r="332" spans="1:15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2024</v>
      </c>
    </row>
    <row r="333" spans="1:15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2023</v>
      </c>
    </row>
    <row r="334" spans="1:15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2024</v>
      </c>
    </row>
    <row r="335" spans="1:15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2024</v>
      </c>
    </row>
    <row r="336" spans="1:15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2024</v>
      </c>
    </row>
    <row r="337" spans="1:15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2025</v>
      </c>
    </row>
    <row r="338" spans="1:15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2023</v>
      </c>
    </row>
    <row r="339" spans="1:15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2023</v>
      </c>
    </row>
    <row r="340" spans="1:15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2023</v>
      </c>
    </row>
    <row r="341" spans="1:15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2024</v>
      </c>
    </row>
    <row r="342" spans="1:15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2023</v>
      </c>
    </row>
    <row r="343" spans="1:15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2024</v>
      </c>
    </row>
    <row r="344" spans="1:15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2025</v>
      </c>
    </row>
    <row r="345" spans="1:15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2023</v>
      </c>
    </row>
    <row r="346" spans="1:15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2025</v>
      </c>
    </row>
    <row r="347" spans="1:15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2023</v>
      </c>
    </row>
    <row r="348" spans="1:15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2024</v>
      </c>
    </row>
    <row r="349" spans="1:15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2024</v>
      </c>
    </row>
    <row r="350" spans="1:15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2024</v>
      </c>
    </row>
    <row r="351" spans="1:15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2023</v>
      </c>
    </row>
    <row r="352" spans="1:15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2023</v>
      </c>
    </row>
    <row r="353" spans="1:15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2025</v>
      </c>
    </row>
    <row r="354" spans="1:15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2023</v>
      </c>
    </row>
    <row r="355" spans="1:15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2025</v>
      </c>
    </row>
    <row r="356" spans="1:15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2023</v>
      </c>
    </row>
    <row r="357" spans="1:15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2025</v>
      </c>
    </row>
    <row r="358" spans="1:15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2023</v>
      </c>
    </row>
    <row r="359" spans="1:15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2023</v>
      </c>
    </row>
    <row r="360" spans="1:15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2024</v>
      </c>
    </row>
    <row r="361" spans="1:15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2023</v>
      </c>
    </row>
    <row r="362" spans="1:15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2024</v>
      </c>
    </row>
    <row r="363" spans="1:15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2024</v>
      </c>
    </row>
    <row r="364" spans="1:15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2023</v>
      </c>
    </row>
    <row r="365" spans="1:15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2024</v>
      </c>
    </row>
    <row r="366" spans="1:15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2023</v>
      </c>
    </row>
    <row r="367" spans="1:15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2025</v>
      </c>
    </row>
    <row r="368" spans="1:15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2023</v>
      </c>
    </row>
    <row r="369" spans="1:15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2024</v>
      </c>
    </row>
    <row r="370" spans="1:15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2023</v>
      </c>
    </row>
    <row r="371" spans="1:15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2024</v>
      </c>
    </row>
    <row r="372" spans="1:15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2025</v>
      </c>
    </row>
    <row r="373" spans="1:15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2023</v>
      </c>
    </row>
    <row r="374" spans="1:15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2025</v>
      </c>
    </row>
    <row r="375" spans="1:15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2023</v>
      </c>
    </row>
    <row r="376" spans="1:15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2024</v>
      </c>
    </row>
    <row r="377" spans="1:15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2025</v>
      </c>
    </row>
    <row r="378" spans="1:15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2023</v>
      </c>
    </row>
    <row r="379" spans="1:15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2024</v>
      </c>
    </row>
    <row r="380" spans="1:15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2024</v>
      </c>
    </row>
    <row r="381" spans="1:15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2024</v>
      </c>
    </row>
    <row r="382" spans="1:15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2024</v>
      </c>
    </row>
    <row r="383" spans="1:15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2023</v>
      </c>
    </row>
    <row r="384" spans="1:15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2025</v>
      </c>
    </row>
    <row r="385" spans="1:15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2023</v>
      </c>
    </row>
    <row r="386" spans="1:15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2024</v>
      </c>
    </row>
    <row r="387" spans="1:15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YEAR(B387)</f>
        <v>2023</v>
      </c>
    </row>
    <row r="388" spans="1:15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2023</v>
      </c>
    </row>
    <row r="389" spans="1:15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2024</v>
      </c>
    </row>
    <row r="390" spans="1:15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2023</v>
      </c>
    </row>
    <row r="391" spans="1:15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2023</v>
      </c>
    </row>
    <row r="392" spans="1:15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2023</v>
      </c>
    </row>
    <row r="393" spans="1:15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2025</v>
      </c>
    </row>
    <row r="394" spans="1:15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2024</v>
      </c>
    </row>
    <row r="395" spans="1:15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2024</v>
      </c>
    </row>
    <row r="396" spans="1:15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2023</v>
      </c>
    </row>
    <row r="397" spans="1:15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2025</v>
      </c>
    </row>
    <row r="398" spans="1:15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2023</v>
      </c>
    </row>
    <row r="399" spans="1:15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2023</v>
      </c>
    </row>
    <row r="400" spans="1:15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2024</v>
      </c>
    </row>
    <row r="401" spans="1:15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2024</v>
      </c>
    </row>
    <row r="402" spans="1:15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2024</v>
      </c>
    </row>
    <row r="403" spans="1:15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2025</v>
      </c>
    </row>
    <row r="404" spans="1:15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2023</v>
      </c>
    </row>
    <row r="405" spans="1:15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2024</v>
      </c>
    </row>
    <row r="406" spans="1:15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2023</v>
      </c>
    </row>
    <row r="407" spans="1:15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2025</v>
      </c>
    </row>
    <row r="408" spans="1:15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2023</v>
      </c>
    </row>
    <row r="409" spans="1:15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2023</v>
      </c>
    </row>
    <row r="410" spans="1:15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2025</v>
      </c>
    </row>
    <row r="411" spans="1:15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2023</v>
      </c>
    </row>
    <row r="412" spans="1:15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2024</v>
      </c>
    </row>
    <row r="413" spans="1:15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2024</v>
      </c>
    </row>
    <row r="414" spans="1:15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2025</v>
      </c>
    </row>
    <row r="415" spans="1:15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2023</v>
      </c>
    </row>
    <row r="416" spans="1:15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2025</v>
      </c>
    </row>
    <row r="417" spans="1:15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2025</v>
      </c>
    </row>
    <row r="418" spans="1:15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2023</v>
      </c>
    </row>
    <row r="419" spans="1:15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2023</v>
      </c>
    </row>
    <row r="420" spans="1:15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2023</v>
      </c>
    </row>
    <row r="421" spans="1:15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2024</v>
      </c>
    </row>
    <row r="422" spans="1:15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2024</v>
      </c>
    </row>
    <row r="423" spans="1:15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2023</v>
      </c>
    </row>
    <row r="424" spans="1:15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2023</v>
      </c>
    </row>
    <row r="425" spans="1:15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2024</v>
      </c>
    </row>
    <row r="426" spans="1:15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2023</v>
      </c>
    </row>
    <row r="427" spans="1:15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2023</v>
      </c>
    </row>
    <row r="428" spans="1:15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2025</v>
      </c>
    </row>
    <row r="429" spans="1:15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2024</v>
      </c>
    </row>
    <row r="430" spans="1:15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2024</v>
      </c>
    </row>
    <row r="431" spans="1:15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2024</v>
      </c>
    </row>
    <row r="432" spans="1:15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2023</v>
      </c>
    </row>
    <row r="433" spans="1:15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2024</v>
      </c>
    </row>
    <row r="434" spans="1:15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2023</v>
      </c>
    </row>
    <row r="435" spans="1:15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2023</v>
      </c>
    </row>
    <row r="436" spans="1:15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2023</v>
      </c>
    </row>
    <row r="437" spans="1:15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2023</v>
      </c>
    </row>
    <row r="438" spans="1:15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2023</v>
      </c>
    </row>
    <row r="439" spans="1:15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2024</v>
      </c>
    </row>
    <row r="440" spans="1:15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2025</v>
      </c>
    </row>
    <row r="441" spans="1:15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2024</v>
      </c>
    </row>
    <row r="442" spans="1:15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2024</v>
      </c>
    </row>
    <row r="443" spans="1:15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2023</v>
      </c>
    </row>
    <row r="444" spans="1:15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2024</v>
      </c>
    </row>
    <row r="445" spans="1:15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2024</v>
      </c>
    </row>
    <row r="446" spans="1:15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2024</v>
      </c>
    </row>
    <row r="447" spans="1:15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2024</v>
      </c>
    </row>
    <row r="448" spans="1:15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2023</v>
      </c>
    </row>
    <row r="449" spans="1:15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2024</v>
      </c>
    </row>
    <row r="450" spans="1:15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2023</v>
      </c>
    </row>
    <row r="451" spans="1:15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7">YEAR(B451)</f>
        <v>2024</v>
      </c>
    </row>
    <row r="452" spans="1:15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2024</v>
      </c>
    </row>
    <row r="453" spans="1:15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2023</v>
      </c>
    </row>
    <row r="454" spans="1:15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2023</v>
      </c>
    </row>
    <row r="455" spans="1:15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2025</v>
      </c>
    </row>
    <row r="456" spans="1:15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2024</v>
      </c>
    </row>
    <row r="457" spans="1:15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2024</v>
      </c>
    </row>
    <row r="458" spans="1:15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2023</v>
      </c>
    </row>
    <row r="459" spans="1:15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2025</v>
      </c>
    </row>
    <row r="460" spans="1:15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2024</v>
      </c>
    </row>
    <row r="461" spans="1:15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2024</v>
      </c>
    </row>
    <row r="462" spans="1:15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2024</v>
      </c>
    </row>
    <row r="463" spans="1:15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2024</v>
      </c>
    </row>
    <row r="464" spans="1:15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2025</v>
      </c>
    </row>
    <row r="465" spans="1:17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2023</v>
      </c>
    </row>
    <row r="466" spans="1:17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2023</v>
      </c>
    </row>
    <row r="467" spans="1:17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2024</v>
      </c>
    </row>
    <row r="468" spans="1:17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2023</v>
      </c>
    </row>
    <row r="469" spans="1:17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2024</v>
      </c>
    </row>
    <row r="470" spans="1:17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2025</v>
      </c>
    </row>
    <row r="471" spans="1:17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2023</v>
      </c>
      <c r="Q471">
        <f>AVERAGE(N109,N242,N328,N330,N338,N465,N471,N475,N544)</f>
        <v>1873.1588888888889</v>
      </c>
    </row>
    <row r="472" spans="1:17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2023</v>
      </c>
    </row>
    <row r="473" spans="1:17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2025</v>
      </c>
    </row>
    <row r="474" spans="1:17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2023</v>
      </c>
    </row>
    <row r="475" spans="1:17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2025</v>
      </c>
    </row>
    <row r="476" spans="1:17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2023</v>
      </c>
    </row>
    <row r="477" spans="1:17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2025</v>
      </c>
    </row>
    <row r="478" spans="1:17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2024</v>
      </c>
    </row>
    <row r="479" spans="1:17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2025</v>
      </c>
    </row>
    <row r="480" spans="1:17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2024</v>
      </c>
    </row>
    <row r="481" spans="1:15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2023</v>
      </c>
    </row>
    <row r="482" spans="1:15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2023</v>
      </c>
    </row>
    <row r="483" spans="1:15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2023</v>
      </c>
    </row>
    <row r="484" spans="1:15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2025</v>
      </c>
    </row>
    <row r="485" spans="1:15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2023</v>
      </c>
    </row>
    <row r="486" spans="1:15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2024</v>
      </c>
    </row>
    <row r="487" spans="1:15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2023</v>
      </c>
    </row>
    <row r="488" spans="1:15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2023</v>
      </c>
    </row>
    <row r="489" spans="1:15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2023</v>
      </c>
    </row>
    <row r="490" spans="1:15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2024</v>
      </c>
    </row>
    <row r="491" spans="1:15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2023</v>
      </c>
    </row>
    <row r="492" spans="1:15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2024</v>
      </c>
    </row>
    <row r="493" spans="1:15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2023</v>
      </c>
    </row>
    <row r="494" spans="1:15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2023</v>
      </c>
    </row>
    <row r="495" spans="1:15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2025</v>
      </c>
    </row>
    <row r="496" spans="1:15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2023</v>
      </c>
    </row>
    <row r="497" spans="1:15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2025</v>
      </c>
    </row>
    <row r="498" spans="1:15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2025</v>
      </c>
    </row>
    <row r="499" spans="1:15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2024</v>
      </c>
    </row>
    <row r="500" spans="1:15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2023</v>
      </c>
    </row>
    <row r="501" spans="1:15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2023</v>
      </c>
    </row>
    <row r="502" spans="1:15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2024</v>
      </c>
    </row>
    <row r="503" spans="1:15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2024</v>
      </c>
    </row>
    <row r="504" spans="1:15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2023</v>
      </c>
    </row>
    <row r="505" spans="1:15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2023</v>
      </c>
    </row>
    <row r="506" spans="1:15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2025</v>
      </c>
    </row>
    <row r="507" spans="1:15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2023</v>
      </c>
    </row>
    <row r="508" spans="1:15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2023</v>
      </c>
    </row>
    <row r="509" spans="1:15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2023</v>
      </c>
    </row>
    <row r="510" spans="1:15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2025</v>
      </c>
    </row>
    <row r="511" spans="1:15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2023</v>
      </c>
    </row>
    <row r="512" spans="1:15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2024</v>
      </c>
    </row>
    <row r="513" spans="1:15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2024</v>
      </c>
    </row>
    <row r="514" spans="1:15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2024</v>
      </c>
    </row>
    <row r="515" spans="1:15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8">YEAR(B515)</f>
        <v>2025</v>
      </c>
    </row>
    <row r="516" spans="1:15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2023</v>
      </c>
    </row>
    <row r="517" spans="1:15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2023</v>
      </c>
    </row>
    <row r="518" spans="1:15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2024</v>
      </c>
    </row>
    <row r="519" spans="1:15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2024</v>
      </c>
    </row>
    <row r="520" spans="1:15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2025</v>
      </c>
    </row>
    <row r="521" spans="1:15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2025</v>
      </c>
    </row>
    <row r="522" spans="1:15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2023</v>
      </c>
    </row>
    <row r="523" spans="1:15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2024</v>
      </c>
    </row>
    <row r="524" spans="1:15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2024</v>
      </c>
    </row>
    <row r="525" spans="1:15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2025</v>
      </c>
    </row>
    <row r="526" spans="1:15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2023</v>
      </c>
    </row>
    <row r="527" spans="1:15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2023</v>
      </c>
    </row>
    <row r="528" spans="1:15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2024</v>
      </c>
    </row>
    <row r="529" spans="1:17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2024</v>
      </c>
    </row>
    <row r="530" spans="1:17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2025</v>
      </c>
    </row>
    <row r="531" spans="1:17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2024</v>
      </c>
    </row>
    <row r="532" spans="1:17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2024</v>
      </c>
    </row>
    <row r="533" spans="1:17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2024</v>
      </c>
    </row>
    <row r="534" spans="1:17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2025</v>
      </c>
    </row>
    <row r="535" spans="1:17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2023</v>
      </c>
    </row>
    <row r="536" spans="1:17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2024</v>
      </c>
    </row>
    <row r="537" spans="1:17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2024</v>
      </c>
    </row>
    <row r="538" spans="1:17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2024</v>
      </c>
    </row>
    <row r="539" spans="1:17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2025</v>
      </c>
    </row>
    <row r="540" spans="1:17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2024</v>
      </c>
    </row>
    <row r="541" spans="1:17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2025</v>
      </c>
    </row>
    <row r="542" spans="1:17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2024</v>
      </c>
    </row>
    <row r="543" spans="1:17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2023</v>
      </c>
    </row>
    <row r="544" spans="1:17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2023</v>
      </c>
      <c r="Q544">
        <f>AVERAGE(N109:N1163)</f>
        <v>1067.4136587677724</v>
      </c>
    </row>
    <row r="545" spans="1:15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2024</v>
      </c>
    </row>
    <row r="546" spans="1:15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2024</v>
      </c>
    </row>
    <row r="547" spans="1:15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2023</v>
      </c>
    </row>
    <row r="548" spans="1:15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2024</v>
      </c>
    </row>
    <row r="549" spans="1:15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2023</v>
      </c>
    </row>
    <row r="550" spans="1:15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2024</v>
      </c>
    </row>
    <row r="551" spans="1:15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2025</v>
      </c>
    </row>
    <row r="552" spans="1:15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2023</v>
      </c>
    </row>
    <row r="553" spans="1:15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2023</v>
      </c>
    </row>
    <row r="554" spans="1:15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2023</v>
      </c>
    </row>
    <row r="555" spans="1:15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2023</v>
      </c>
    </row>
    <row r="556" spans="1:15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2025</v>
      </c>
    </row>
    <row r="557" spans="1:15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2023</v>
      </c>
    </row>
    <row r="558" spans="1:15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2023</v>
      </c>
    </row>
    <row r="559" spans="1:15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2023</v>
      </c>
    </row>
    <row r="560" spans="1:15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2024</v>
      </c>
    </row>
    <row r="561" spans="1:15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2024</v>
      </c>
    </row>
    <row r="562" spans="1:15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2023</v>
      </c>
    </row>
    <row r="563" spans="1:15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2023</v>
      </c>
    </row>
    <row r="564" spans="1:15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2023</v>
      </c>
    </row>
    <row r="565" spans="1:15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2023</v>
      </c>
    </row>
    <row r="566" spans="1:15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2025</v>
      </c>
    </row>
    <row r="567" spans="1:15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2023</v>
      </c>
    </row>
    <row r="568" spans="1:15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2024</v>
      </c>
    </row>
    <row r="569" spans="1:15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2024</v>
      </c>
    </row>
    <row r="570" spans="1:15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2023</v>
      </c>
    </row>
    <row r="571" spans="1:15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2025</v>
      </c>
    </row>
    <row r="572" spans="1:15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2024</v>
      </c>
    </row>
    <row r="573" spans="1:15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2024</v>
      </c>
    </row>
    <row r="574" spans="1:15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2023</v>
      </c>
    </row>
    <row r="575" spans="1:15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2023</v>
      </c>
    </row>
    <row r="576" spans="1:15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2024</v>
      </c>
    </row>
    <row r="577" spans="1:15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2023</v>
      </c>
    </row>
    <row r="578" spans="1:15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8"/>
        <v>2024</v>
      </c>
    </row>
    <row r="579" spans="1:15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YEAR(B579)</f>
        <v>2023</v>
      </c>
    </row>
    <row r="580" spans="1:15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2024</v>
      </c>
    </row>
    <row r="581" spans="1:15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2023</v>
      </c>
    </row>
    <row r="582" spans="1:15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2023</v>
      </c>
    </row>
    <row r="583" spans="1:15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2024</v>
      </c>
    </row>
    <row r="584" spans="1:15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2024</v>
      </c>
    </row>
    <row r="585" spans="1:15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2025</v>
      </c>
    </row>
    <row r="586" spans="1:15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2025</v>
      </c>
    </row>
    <row r="587" spans="1:15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2023</v>
      </c>
    </row>
    <row r="588" spans="1:15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2024</v>
      </c>
    </row>
    <row r="589" spans="1:15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2023</v>
      </c>
    </row>
    <row r="590" spans="1:15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2024</v>
      </c>
    </row>
    <row r="591" spans="1:15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2025</v>
      </c>
    </row>
    <row r="592" spans="1:15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2023</v>
      </c>
    </row>
    <row r="593" spans="1:15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2024</v>
      </c>
    </row>
    <row r="594" spans="1:15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2024</v>
      </c>
    </row>
    <row r="595" spans="1:15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2023</v>
      </c>
    </row>
    <row r="596" spans="1:15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2024</v>
      </c>
    </row>
    <row r="597" spans="1:15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2025</v>
      </c>
    </row>
    <row r="598" spans="1:15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2023</v>
      </c>
    </row>
    <row r="599" spans="1:15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2024</v>
      </c>
    </row>
    <row r="600" spans="1:15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2024</v>
      </c>
    </row>
    <row r="601" spans="1:15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2023</v>
      </c>
    </row>
    <row r="602" spans="1:15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2023</v>
      </c>
    </row>
    <row r="603" spans="1:15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2023</v>
      </c>
    </row>
    <row r="604" spans="1:15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2024</v>
      </c>
    </row>
    <row r="605" spans="1:15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2024</v>
      </c>
    </row>
    <row r="606" spans="1:15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2025</v>
      </c>
    </row>
    <row r="607" spans="1:15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2024</v>
      </c>
    </row>
    <row r="608" spans="1:15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2024</v>
      </c>
    </row>
    <row r="609" spans="1:15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2025</v>
      </c>
    </row>
    <row r="610" spans="1:15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2024</v>
      </c>
    </row>
    <row r="611" spans="1:15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2025</v>
      </c>
    </row>
    <row r="612" spans="1:15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2024</v>
      </c>
    </row>
    <row r="613" spans="1:15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2023</v>
      </c>
    </row>
    <row r="614" spans="1:15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2023</v>
      </c>
    </row>
    <row r="615" spans="1:15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2024</v>
      </c>
    </row>
    <row r="616" spans="1:15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2024</v>
      </c>
    </row>
    <row r="617" spans="1:15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2025</v>
      </c>
    </row>
    <row r="618" spans="1:15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2024</v>
      </c>
    </row>
    <row r="619" spans="1:15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2024</v>
      </c>
    </row>
    <row r="620" spans="1:15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2024</v>
      </c>
    </row>
    <row r="621" spans="1:15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2024</v>
      </c>
    </row>
    <row r="622" spans="1:15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2024</v>
      </c>
    </row>
    <row r="623" spans="1:15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2023</v>
      </c>
    </row>
    <row r="624" spans="1:15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2024</v>
      </c>
    </row>
    <row r="625" spans="1:15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2023</v>
      </c>
    </row>
    <row r="626" spans="1:15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2024</v>
      </c>
    </row>
    <row r="627" spans="1:15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2023</v>
      </c>
    </row>
    <row r="628" spans="1:15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2024</v>
      </c>
    </row>
    <row r="629" spans="1:15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2023</v>
      </c>
    </row>
    <row r="630" spans="1:15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2023</v>
      </c>
    </row>
    <row r="631" spans="1:15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2023</v>
      </c>
    </row>
    <row r="632" spans="1:15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2023</v>
      </c>
    </row>
    <row r="633" spans="1:15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2024</v>
      </c>
    </row>
    <row r="634" spans="1:15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2023</v>
      </c>
    </row>
    <row r="635" spans="1:15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2024</v>
      </c>
    </row>
    <row r="636" spans="1:15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2024</v>
      </c>
    </row>
    <row r="637" spans="1:15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2023</v>
      </c>
    </row>
    <row r="638" spans="1:15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2023</v>
      </c>
    </row>
    <row r="639" spans="1:15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2024</v>
      </c>
    </row>
    <row r="640" spans="1:15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2023</v>
      </c>
    </row>
    <row r="641" spans="1:15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2023</v>
      </c>
    </row>
    <row r="642" spans="1:15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2024</v>
      </c>
    </row>
    <row r="643" spans="1:15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YEAR(B643)</f>
        <v>2024</v>
      </c>
    </row>
    <row r="644" spans="1:15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2024</v>
      </c>
    </row>
    <row r="645" spans="1:15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2024</v>
      </c>
    </row>
    <row r="646" spans="1:15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2023</v>
      </c>
    </row>
    <row r="647" spans="1:15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2023</v>
      </c>
    </row>
    <row r="648" spans="1:15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2023</v>
      </c>
    </row>
    <row r="649" spans="1:15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2025</v>
      </c>
    </row>
    <row r="650" spans="1:15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2025</v>
      </c>
    </row>
    <row r="651" spans="1:15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2023</v>
      </c>
    </row>
    <row r="652" spans="1:15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2023</v>
      </c>
    </row>
    <row r="653" spans="1:15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2024</v>
      </c>
    </row>
    <row r="654" spans="1:15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2024</v>
      </c>
    </row>
    <row r="655" spans="1:15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2024</v>
      </c>
    </row>
    <row r="656" spans="1:15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2023</v>
      </c>
    </row>
    <row r="657" spans="1:15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2023</v>
      </c>
    </row>
    <row r="658" spans="1:15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2024</v>
      </c>
    </row>
    <row r="659" spans="1:15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2023</v>
      </c>
    </row>
    <row r="660" spans="1:15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2025</v>
      </c>
    </row>
    <row r="661" spans="1:15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2024</v>
      </c>
    </row>
    <row r="662" spans="1:15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2024</v>
      </c>
    </row>
    <row r="663" spans="1:15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2025</v>
      </c>
    </row>
    <row r="664" spans="1:15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2023</v>
      </c>
    </row>
    <row r="665" spans="1:15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2024</v>
      </c>
    </row>
    <row r="666" spans="1:15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2024</v>
      </c>
    </row>
    <row r="667" spans="1:15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2023</v>
      </c>
    </row>
    <row r="668" spans="1:15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2024</v>
      </c>
    </row>
    <row r="669" spans="1:15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2023</v>
      </c>
    </row>
    <row r="670" spans="1:15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2024</v>
      </c>
    </row>
    <row r="671" spans="1:15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2023</v>
      </c>
    </row>
    <row r="672" spans="1:15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2024</v>
      </c>
    </row>
    <row r="673" spans="1:15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2023</v>
      </c>
    </row>
    <row r="674" spans="1:15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2023</v>
      </c>
    </row>
    <row r="675" spans="1:15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2023</v>
      </c>
    </row>
    <row r="676" spans="1:15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2024</v>
      </c>
    </row>
    <row r="677" spans="1:15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2024</v>
      </c>
    </row>
    <row r="678" spans="1:15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2025</v>
      </c>
    </row>
    <row r="679" spans="1:15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2025</v>
      </c>
    </row>
    <row r="680" spans="1:15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2024</v>
      </c>
    </row>
    <row r="681" spans="1:15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2023</v>
      </c>
    </row>
    <row r="682" spans="1:15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2023</v>
      </c>
    </row>
    <row r="683" spans="1:15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2024</v>
      </c>
    </row>
    <row r="684" spans="1:15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2023</v>
      </c>
    </row>
    <row r="685" spans="1:15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2025</v>
      </c>
    </row>
    <row r="686" spans="1:15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2024</v>
      </c>
    </row>
    <row r="687" spans="1:15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2025</v>
      </c>
    </row>
    <row r="688" spans="1:15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2023</v>
      </c>
    </row>
    <row r="689" spans="1:15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2023</v>
      </c>
    </row>
    <row r="690" spans="1:15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2024</v>
      </c>
    </row>
    <row r="691" spans="1:15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2023</v>
      </c>
    </row>
    <row r="692" spans="1:15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2024</v>
      </c>
    </row>
    <row r="693" spans="1:15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2024</v>
      </c>
    </row>
    <row r="694" spans="1:15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2023</v>
      </c>
    </row>
    <row r="695" spans="1:15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2025</v>
      </c>
    </row>
    <row r="696" spans="1:15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2023</v>
      </c>
    </row>
    <row r="697" spans="1:15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2024</v>
      </c>
    </row>
    <row r="698" spans="1:15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2023</v>
      </c>
    </row>
    <row r="699" spans="1:15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2025</v>
      </c>
    </row>
    <row r="700" spans="1:15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2023</v>
      </c>
    </row>
    <row r="701" spans="1:15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2023</v>
      </c>
    </row>
    <row r="702" spans="1:15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2024</v>
      </c>
    </row>
    <row r="703" spans="1:15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2024</v>
      </c>
    </row>
    <row r="704" spans="1:15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2024</v>
      </c>
    </row>
    <row r="705" spans="1:15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2023</v>
      </c>
    </row>
    <row r="706" spans="1:15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2023</v>
      </c>
    </row>
    <row r="707" spans="1:15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YEAR(B707)</f>
        <v>2025</v>
      </c>
    </row>
    <row r="708" spans="1:15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2025</v>
      </c>
    </row>
    <row r="709" spans="1:15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2024</v>
      </c>
    </row>
    <row r="710" spans="1:15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2025</v>
      </c>
    </row>
    <row r="711" spans="1:15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2024</v>
      </c>
    </row>
    <row r="712" spans="1:15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2024</v>
      </c>
    </row>
    <row r="713" spans="1:15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2024</v>
      </c>
    </row>
    <row r="714" spans="1:15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2024</v>
      </c>
    </row>
    <row r="715" spans="1:15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2025</v>
      </c>
    </row>
    <row r="716" spans="1:15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2023</v>
      </c>
    </row>
    <row r="717" spans="1:15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2024</v>
      </c>
    </row>
    <row r="718" spans="1:15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2024</v>
      </c>
    </row>
    <row r="719" spans="1:15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2023</v>
      </c>
    </row>
    <row r="720" spans="1:15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2023</v>
      </c>
    </row>
    <row r="721" spans="1:15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2024</v>
      </c>
    </row>
    <row r="722" spans="1:15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2023</v>
      </c>
    </row>
    <row r="723" spans="1:15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2024</v>
      </c>
    </row>
    <row r="724" spans="1:15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2024</v>
      </c>
    </row>
    <row r="725" spans="1:15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2023</v>
      </c>
    </row>
    <row r="726" spans="1:15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2024</v>
      </c>
    </row>
    <row r="727" spans="1:15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2023</v>
      </c>
    </row>
    <row r="728" spans="1:15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2024</v>
      </c>
    </row>
    <row r="729" spans="1:15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2024</v>
      </c>
    </row>
    <row r="730" spans="1:15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2024</v>
      </c>
    </row>
    <row r="731" spans="1:15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2023</v>
      </c>
    </row>
    <row r="732" spans="1:15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2025</v>
      </c>
    </row>
    <row r="733" spans="1:15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2024</v>
      </c>
    </row>
    <row r="734" spans="1:15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2025</v>
      </c>
    </row>
    <row r="735" spans="1:15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2023</v>
      </c>
    </row>
    <row r="736" spans="1:15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2024</v>
      </c>
    </row>
    <row r="737" spans="1:15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2024</v>
      </c>
    </row>
    <row r="738" spans="1:15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2024</v>
      </c>
    </row>
    <row r="739" spans="1:15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2024</v>
      </c>
    </row>
    <row r="740" spans="1:15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2025</v>
      </c>
    </row>
    <row r="741" spans="1:15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2024</v>
      </c>
    </row>
    <row r="742" spans="1:15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2024</v>
      </c>
    </row>
    <row r="743" spans="1:15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2025</v>
      </c>
    </row>
    <row r="744" spans="1:15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2024</v>
      </c>
    </row>
    <row r="745" spans="1:15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2024</v>
      </c>
    </row>
    <row r="746" spans="1:15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2024</v>
      </c>
    </row>
    <row r="747" spans="1:15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2023</v>
      </c>
    </row>
    <row r="748" spans="1:15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2025</v>
      </c>
    </row>
    <row r="749" spans="1:15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2025</v>
      </c>
    </row>
    <row r="750" spans="1:15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2024</v>
      </c>
    </row>
    <row r="751" spans="1:15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2025</v>
      </c>
    </row>
    <row r="752" spans="1:15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2023</v>
      </c>
    </row>
    <row r="753" spans="1:15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2023</v>
      </c>
    </row>
    <row r="754" spans="1:15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2024</v>
      </c>
    </row>
    <row r="755" spans="1:15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2024</v>
      </c>
    </row>
    <row r="756" spans="1:15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2025</v>
      </c>
    </row>
    <row r="757" spans="1:15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2023</v>
      </c>
    </row>
    <row r="758" spans="1:15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2024</v>
      </c>
    </row>
    <row r="759" spans="1:15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2024</v>
      </c>
    </row>
    <row r="760" spans="1:15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2023</v>
      </c>
    </row>
    <row r="761" spans="1:15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2023</v>
      </c>
    </row>
    <row r="762" spans="1:15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2025</v>
      </c>
    </row>
    <row r="763" spans="1:15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2023</v>
      </c>
    </row>
    <row r="764" spans="1:15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2024</v>
      </c>
    </row>
    <row r="765" spans="1:15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2023</v>
      </c>
    </row>
    <row r="766" spans="1:15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2024</v>
      </c>
    </row>
    <row r="767" spans="1:15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2023</v>
      </c>
    </row>
    <row r="768" spans="1:15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2023</v>
      </c>
    </row>
    <row r="769" spans="1:15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2025</v>
      </c>
    </row>
    <row r="770" spans="1:15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2023</v>
      </c>
    </row>
    <row r="771" spans="1:15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12">YEAR(B771)</f>
        <v>2023</v>
      </c>
    </row>
    <row r="772" spans="1:15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2024</v>
      </c>
    </row>
    <row r="773" spans="1:15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2024</v>
      </c>
    </row>
    <row r="774" spans="1:15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2024</v>
      </c>
    </row>
    <row r="775" spans="1:15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2025</v>
      </c>
    </row>
    <row r="776" spans="1:15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2025</v>
      </c>
    </row>
    <row r="777" spans="1:15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2023</v>
      </c>
    </row>
    <row r="778" spans="1:15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2023</v>
      </c>
    </row>
    <row r="779" spans="1:15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2025</v>
      </c>
    </row>
    <row r="780" spans="1:15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2023</v>
      </c>
    </row>
    <row r="781" spans="1:15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2023</v>
      </c>
    </row>
    <row r="782" spans="1:15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2024</v>
      </c>
    </row>
    <row r="783" spans="1:15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2024</v>
      </c>
    </row>
    <row r="784" spans="1:15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2024</v>
      </c>
    </row>
    <row r="785" spans="1:15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2025</v>
      </c>
    </row>
    <row r="786" spans="1:15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2025</v>
      </c>
    </row>
    <row r="787" spans="1:15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2023</v>
      </c>
    </row>
    <row r="788" spans="1:15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2023</v>
      </c>
    </row>
    <row r="789" spans="1:15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2024</v>
      </c>
    </row>
    <row r="790" spans="1:15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2023</v>
      </c>
    </row>
    <row r="791" spans="1:15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2023</v>
      </c>
    </row>
    <row r="792" spans="1:15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2024</v>
      </c>
    </row>
    <row r="793" spans="1:15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2024</v>
      </c>
    </row>
    <row r="794" spans="1:15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2023</v>
      </c>
    </row>
    <row r="795" spans="1:15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2024</v>
      </c>
    </row>
    <row r="796" spans="1:15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2023</v>
      </c>
    </row>
    <row r="797" spans="1:15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2024</v>
      </c>
    </row>
    <row r="798" spans="1:15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2025</v>
      </c>
    </row>
    <row r="799" spans="1:15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2023</v>
      </c>
    </row>
    <row r="800" spans="1:15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2025</v>
      </c>
    </row>
    <row r="801" spans="1:15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2023</v>
      </c>
    </row>
    <row r="802" spans="1:15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2025</v>
      </c>
    </row>
    <row r="803" spans="1:15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2023</v>
      </c>
    </row>
    <row r="804" spans="1:15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2024</v>
      </c>
    </row>
    <row r="805" spans="1:15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2023</v>
      </c>
    </row>
    <row r="806" spans="1:15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2024</v>
      </c>
    </row>
    <row r="807" spans="1:15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2024</v>
      </c>
    </row>
    <row r="808" spans="1:15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2023</v>
      </c>
    </row>
    <row r="809" spans="1:15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2024</v>
      </c>
    </row>
    <row r="810" spans="1:15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2024</v>
      </c>
    </row>
    <row r="811" spans="1:15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2024</v>
      </c>
    </row>
    <row r="812" spans="1:15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2023</v>
      </c>
    </row>
    <row r="813" spans="1:15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2023</v>
      </c>
    </row>
    <row r="814" spans="1:15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2024</v>
      </c>
    </row>
    <row r="815" spans="1:15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2025</v>
      </c>
    </row>
    <row r="816" spans="1:15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2024</v>
      </c>
    </row>
    <row r="817" spans="1:15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2024</v>
      </c>
    </row>
    <row r="818" spans="1:15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2024</v>
      </c>
    </row>
    <row r="819" spans="1:15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2023</v>
      </c>
    </row>
    <row r="820" spans="1:15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2023</v>
      </c>
    </row>
    <row r="821" spans="1:15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2024</v>
      </c>
    </row>
    <row r="822" spans="1:15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2023</v>
      </c>
    </row>
    <row r="823" spans="1:15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2024</v>
      </c>
    </row>
    <row r="824" spans="1:15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2025</v>
      </c>
    </row>
    <row r="825" spans="1:15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2024</v>
      </c>
    </row>
    <row r="826" spans="1:15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2023</v>
      </c>
    </row>
    <row r="827" spans="1:15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2025</v>
      </c>
    </row>
    <row r="828" spans="1:15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2025</v>
      </c>
    </row>
    <row r="829" spans="1:15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2023</v>
      </c>
    </row>
    <row r="830" spans="1:15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2024</v>
      </c>
    </row>
    <row r="831" spans="1:15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2023</v>
      </c>
    </row>
    <row r="832" spans="1:15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2024</v>
      </c>
    </row>
    <row r="833" spans="1:15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2023</v>
      </c>
    </row>
    <row r="834" spans="1:15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2024</v>
      </c>
    </row>
    <row r="835" spans="1:15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YEAR(B835)</f>
        <v>2025</v>
      </c>
    </row>
    <row r="836" spans="1:15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2024</v>
      </c>
    </row>
    <row r="837" spans="1:15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2024</v>
      </c>
    </row>
    <row r="838" spans="1:15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2023</v>
      </c>
    </row>
    <row r="839" spans="1:15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2025</v>
      </c>
    </row>
    <row r="840" spans="1:15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2024</v>
      </c>
    </row>
    <row r="841" spans="1:15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2023</v>
      </c>
    </row>
    <row r="842" spans="1:15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2024</v>
      </c>
    </row>
    <row r="843" spans="1:15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2024</v>
      </c>
    </row>
    <row r="844" spans="1:15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2025</v>
      </c>
    </row>
    <row r="845" spans="1:15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2025</v>
      </c>
    </row>
    <row r="846" spans="1:15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2024</v>
      </c>
    </row>
    <row r="847" spans="1:15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2023</v>
      </c>
    </row>
    <row r="848" spans="1:15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2024</v>
      </c>
    </row>
    <row r="849" spans="1:15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2024</v>
      </c>
    </row>
    <row r="850" spans="1:15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2023</v>
      </c>
    </row>
    <row r="851" spans="1:15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2025</v>
      </c>
    </row>
    <row r="852" spans="1:15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2025</v>
      </c>
    </row>
    <row r="853" spans="1:15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2023</v>
      </c>
    </row>
    <row r="854" spans="1:15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2024</v>
      </c>
    </row>
    <row r="855" spans="1:15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2023</v>
      </c>
    </row>
    <row r="856" spans="1:15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2025</v>
      </c>
    </row>
    <row r="857" spans="1:15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2023</v>
      </c>
    </row>
    <row r="858" spans="1:15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2024</v>
      </c>
    </row>
    <row r="859" spans="1:15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2024</v>
      </c>
    </row>
    <row r="860" spans="1:15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2023</v>
      </c>
    </row>
    <row r="861" spans="1:15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2024</v>
      </c>
    </row>
    <row r="862" spans="1:15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2024</v>
      </c>
    </row>
    <row r="863" spans="1:15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2023</v>
      </c>
    </row>
    <row r="864" spans="1:15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2023</v>
      </c>
    </row>
    <row r="865" spans="1:15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2024</v>
      </c>
    </row>
    <row r="866" spans="1:15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2023</v>
      </c>
    </row>
    <row r="867" spans="1:15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2023</v>
      </c>
    </row>
    <row r="868" spans="1:15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2024</v>
      </c>
    </row>
    <row r="869" spans="1:15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2024</v>
      </c>
    </row>
    <row r="870" spans="1:15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2024</v>
      </c>
    </row>
    <row r="871" spans="1:15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2024</v>
      </c>
    </row>
    <row r="872" spans="1:15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2025</v>
      </c>
    </row>
    <row r="873" spans="1:15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2024</v>
      </c>
    </row>
    <row r="874" spans="1:15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2023</v>
      </c>
    </row>
    <row r="875" spans="1:15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2024</v>
      </c>
    </row>
    <row r="876" spans="1:15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2023</v>
      </c>
    </row>
    <row r="877" spans="1:15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2023</v>
      </c>
    </row>
    <row r="878" spans="1:15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2024</v>
      </c>
    </row>
    <row r="879" spans="1:15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2024</v>
      </c>
    </row>
    <row r="880" spans="1:15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2023</v>
      </c>
    </row>
    <row r="881" spans="1:15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2025</v>
      </c>
    </row>
    <row r="882" spans="1:15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2025</v>
      </c>
    </row>
    <row r="883" spans="1:15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2023</v>
      </c>
    </row>
    <row r="884" spans="1:15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2025</v>
      </c>
    </row>
    <row r="885" spans="1:15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2025</v>
      </c>
    </row>
    <row r="886" spans="1:15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2024</v>
      </c>
    </row>
    <row r="887" spans="1:15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2024</v>
      </c>
    </row>
    <row r="888" spans="1:15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2023</v>
      </c>
    </row>
    <row r="889" spans="1:15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2024</v>
      </c>
    </row>
    <row r="890" spans="1:15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2024</v>
      </c>
    </row>
    <row r="891" spans="1:15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2024</v>
      </c>
    </row>
    <row r="892" spans="1:15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2023</v>
      </c>
    </row>
    <row r="893" spans="1:15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2023</v>
      </c>
    </row>
    <row r="894" spans="1:15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2024</v>
      </c>
    </row>
    <row r="895" spans="1:15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2023</v>
      </c>
    </row>
    <row r="896" spans="1:15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2023</v>
      </c>
    </row>
    <row r="897" spans="1:15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2023</v>
      </c>
    </row>
    <row r="898" spans="1:15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2024</v>
      </c>
    </row>
    <row r="899" spans="1:15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YEAR(B899)</f>
        <v>2024</v>
      </c>
    </row>
    <row r="900" spans="1:15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2025</v>
      </c>
    </row>
    <row r="901" spans="1:15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2025</v>
      </c>
    </row>
    <row r="902" spans="1:15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2025</v>
      </c>
    </row>
    <row r="903" spans="1:15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2024</v>
      </c>
    </row>
    <row r="904" spans="1:15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2024</v>
      </c>
    </row>
    <row r="905" spans="1:15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2023</v>
      </c>
    </row>
    <row r="906" spans="1:15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2025</v>
      </c>
    </row>
    <row r="907" spans="1:15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2023</v>
      </c>
    </row>
    <row r="908" spans="1:15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2024</v>
      </c>
    </row>
    <row r="909" spans="1:15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2024</v>
      </c>
    </row>
    <row r="910" spans="1:15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2025</v>
      </c>
    </row>
    <row r="911" spans="1:15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2024</v>
      </c>
    </row>
    <row r="912" spans="1:15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2024</v>
      </c>
    </row>
    <row r="913" spans="1:15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2024</v>
      </c>
    </row>
    <row r="914" spans="1:15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2024</v>
      </c>
    </row>
    <row r="915" spans="1:15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2023</v>
      </c>
    </row>
    <row r="916" spans="1:15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2025</v>
      </c>
    </row>
    <row r="917" spans="1:15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2024</v>
      </c>
    </row>
    <row r="918" spans="1:15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2024</v>
      </c>
    </row>
    <row r="919" spans="1:15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2025</v>
      </c>
    </row>
    <row r="920" spans="1:15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2025</v>
      </c>
    </row>
    <row r="921" spans="1:15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2025</v>
      </c>
    </row>
    <row r="922" spans="1:15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2025</v>
      </c>
    </row>
    <row r="923" spans="1:15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2023</v>
      </c>
    </row>
    <row r="924" spans="1:15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2024</v>
      </c>
    </row>
    <row r="925" spans="1:15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2023</v>
      </c>
    </row>
    <row r="926" spans="1:15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2025</v>
      </c>
    </row>
    <row r="927" spans="1:15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2024</v>
      </c>
    </row>
    <row r="928" spans="1:15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2024</v>
      </c>
    </row>
    <row r="929" spans="1:15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2023</v>
      </c>
    </row>
    <row r="930" spans="1:15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2024</v>
      </c>
    </row>
    <row r="931" spans="1:15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2024</v>
      </c>
    </row>
    <row r="932" spans="1:15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2024</v>
      </c>
    </row>
    <row r="933" spans="1:15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2024</v>
      </c>
    </row>
    <row r="934" spans="1:15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2023</v>
      </c>
    </row>
    <row r="935" spans="1:15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2023</v>
      </c>
    </row>
    <row r="936" spans="1:15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2025</v>
      </c>
    </row>
    <row r="937" spans="1:15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2023</v>
      </c>
    </row>
    <row r="938" spans="1:15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2024</v>
      </c>
    </row>
    <row r="939" spans="1:15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2024</v>
      </c>
    </row>
    <row r="940" spans="1:15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2023</v>
      </c>
    </row>
    <row r="941" spans="1:15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2025</v>
      </c>
    </row>
    <row r="942" spans="1:15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2023</v>
      </c>
    </row>
    <row r="943" spans="1:15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2023</v>
      </c>
    </row>
    <row r="944" spans="1:15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2023</v>
      </c>
    </row>
    <row r="945" spans="1:15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2023</v>
      </c>
    </row>
    <row r="946" spans="1:15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2024</v>
      </c>
    </row>
    <row r="947" spans="1:15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2023</v>
      </c>
    </row>
    <row r="948" spans="1:15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2024</v>
      </c>
    </row>
    <row r="949" spans="1:15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2023</v>
      </c>
    </row>
    <row r="950" spans="1:15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2024</v>
      </c>
    </row>
    <row r="951" spans="1:15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2023</v>
      </c>
    </row>
    <row r="952" spans="1:15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2024</v>
      </c>
    </row>
    <row r="953" spans="1:15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2024</v>
      </c>
    </row>
    <row r="954" spans="1:15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2025</v>
      </c>
    </row>
    <row r="955" spans="1:15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2023</v>
      </c>
    </row>
    <row r="956" spans="1:15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2024</v>
      </c>
    </row>
    <row r="957" spans="1:15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2023</v>
      </c>
    </row>
    <row r="958" spans="1:15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2024</v>
      </c>
    </row>
    <row r="959" spans="1:15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2023</v>
      </c>
    </row>
    <row r="960" spans="1:15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2023</v>
      </c>
    </row>
    <row r="961" spans="1:15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2024</v>
      </c>
    </row>
    <row r="962" spans="1:15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2023</v>
      </c>
    </row>
    <row r="963" spans="1:15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15">YEAR(B963)</f>
        <v>2024</v>
      </c>
    </row>
    <row r="964" spans="1:15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2024</v>
      </c>
    </row>
    <row r="965" spans="1:15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2024</v>
      </c>
    </row>
    <row r="966" spans="1:15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2023</v>
      </c>
    </row>
    <row r="967" spans="1:15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2025</v>
      </c>
    </row>
    <row r="968" spans="1:15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2025</v>
      </c>
    </row>
    <row r="969" spans="1:15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2025</v>
      </c>
    </row>
    <row r="970" spans="1:15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2024</v>
      </c>
    </row>
    <row r="971" spans="1:15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2025</v>
      </c>
    </row>
    <row r="972" spans="1:15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2024</v>
      </c>
    </row>
    <row r="973" spans="1:15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2024</v>
      </c>
    </row>
    <row r="974" spans="1:15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2024</v>
      </c>
    </row>
    <row r="975" spans="1:15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2025</v>
      </c>
    </row>
    <row r="976" spans="1:15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2023</v>
      </c>
    </row>
    <row r="977" spans="1:15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2023</v>
      </c>
    </row>
    <row r="978" spans="1:15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2024</v>
      </c>
    </row>
    <row r="979" spans="1:15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2023</v>
      </c>
    </row>
    <row r="980" spans="1:15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2024</v>
      </c>
    </row>
    <row r="981" spans="1:15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2023</v>
      </c>
    </row>
    <row r="982" spans="1:15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2023</v>
      </c>
    </row>
    <row r="983" spans="1:15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2023</v>
      </c>
    </row>
    <row r="984" spans="1:15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2024</v>
      </c>
    </row>
    <row r="985" spans="1:15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2024</v>
      </c>
    </row>
    <row r="986" spans="1:15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2025</v>
      </c>
    </row>
    <row r="987" spans="1:15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2024</v>
      </c>
    </row>
    <row r="988" spans="1:15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2024</v>
      </c>
    </row>
    <row r="989" spans="1:15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2025</v>
      </c>
    </row>
    <row r="990" spans="1:15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2025</v>
      </c>
    </row>
    <row r="991" spans="1:15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2023</v>
      </c>
    </row>
    <row r="992" spans="1:15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2023</v>
      </c>
    </row>
    <row r="993" spans="1:15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2024</v>
      </c>
    </row>
    <row r="994" spans="1:15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2024</v>
      </c>
    </row>
    <row r="995" spans="1:15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2024</v>
      </c>
    </row>
    <row r="996" spans="1:15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2024</v>
      </c>
    </row>
    <row r="997" spans="1:15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2023</v>
      </c>
    </row>
    <row r="998" spans="1:15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2024</v>
      </c>
    </row>
    <row r="999" spans="1:15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2023</v>
      </c>
    </row>
    <row r="1000" spans="1:15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2023</v>
      </c>
    </row>
    <row r="1001" spans="1:15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2023</v>
      </c>
    </row>
    <row r="1002" spans="1:15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2023</v>
      </c>
    </row>
    <row r="1003" spans="1:15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2023</v>
      </c>
    </row>
    <row r="1004" spans="1:15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2025</v>
      </c>
    </row>
    <row r="1005" spans="1:15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2023</v>
      </c>
    </row>
    <row r="1006" spans="1:15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2025</v>
      </c>
    </row>
    <row r="1007" spans="1:15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2023</v>
      </c>
    </row>
    <row r="1008" spans="1:15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2024</v>
      </c>
    </row>
    <row r="1009" spans="1:15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2024</v>
      </c>
    </row>
    <row r="1010" spans="1:15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2023</v>
      </c>
    </row>
    <row r="1011" spans="1:15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2023</v>
      </c>
    </row>
    <row r="1012" spans="1:15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2023</v>
      </c>
    </row>
    <row r="1013" spans="1:15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2024</v>
      </c>
    </row>
    <row r="1014" spans="1:15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2024</v>
      </c>
    </row>
    <row r="1015" spans="1:15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2025</v>
      </c>
    </row>
    <row r="1016" spans="1:15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2024</v>
      </c>
    </row>
    <row r="1017" spans="1:15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2024</v>
      </c>
    </row>
    <row r="1018" spans="1:15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2023</v>
      </c>
    </row>
    <row r="1019" spans="1:15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2024</v>
      </c>
    </row>
    <row r="1020" spans="1:15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2023</v>
      </c>
    </row>
    <row r="1021" spans="1:15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2024</v>
      </c>
    </row>
    <row r="1022" spans="1:15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2024</v>
      </c>
    </row>
    <row r="1023" spans="1:15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2023</v>
      </c>
    </row>
    <row r="1024" spans="1:15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2025</v>
      </c>
    </row>
    <row r="1025" spans="1:15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2024</v>
      </c>
    </row>
    <row r="1026" spans="1:15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2024</v>
      </c>
    </row>
    <row r="1027" spans="1:15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YEAR(B1027)</f>
        <v>2025</v>
      </c>
    </row>
    <row r="1028" spans="1:15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2023</v>
      </c>
    </row>
    <row r="1029" spans="1:15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2024</v>
      </c>
    </row>
    <row r="1030" spans="1:15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2023</v>
      </c>
    </row>
    <row r="1031" spans="1:15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2025</v>
      </c>
    </row>
    <row r="1032" spans="1:15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2023</v>
      </c>
    </row>
    <row r="1033" spans="1:15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2023</v>
      </c>
    </row>
    <row r="1034" spans="1:15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2023</v>
      </c>
    </row>
    <row r="1035" spans="1:15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2024</v>
      </c>
    </row>
    <row r="1036" spans="1:15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2024</v>
      </c>
    </row>
    <row r="1037" spans="1:15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2023</v>
      </c>
    </row>
    <row r="1038" spans="1:15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2024</v>
      </c>
    </row>
    <row r="1039" spans="1:15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2023</v>
      </c>
    </row>
    <row r="1040" spans="1:15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2025</v>
      </c>
    </row>
    <row r="1041" spans="1:15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2025</v>
      </c>
    </row>
    <row r="1042" spans="1:15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2023</v>
      </c>
    </row>
    <row r="1043" spans="1:15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2023</v>
      </c>
    </row>
    <row r="1044" spans="1:15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2024</v>
      </c>
    </row>
    <row r="1045" spans="1:15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2025</v>
      </c>
    </row>
    <row r="1046" spans="1:15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2025</v>
      </c>
    </row>
    <row r="1047" spans="1:15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2024</v>
      </c>
    </row>
    <row r="1048" spans="1:15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2024</v>
      </c>
    </row>
    <row r="1049" spans="1:15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2023</v>
      </c>
    </row>
    <row r="1050" spans="1:15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2024</v>
      </c>
    </row>
    <row r="1051" spans="1:15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2024</v>
      </c>
    </row>
    <row r="1052" spans="1:15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2023</v>
      </c>
    </row>
    <row r="1053" spans="1:15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2025</v>
      </c>
    </row>
    <row r="1054" spans="1:15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2023</v>
      </c>
    </row>
    <row r="1055" spans="1:15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2024</v>
      </c>
    </row>
    <row r="1056" spans="1:15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2023</v>
      </c>
    </row>
    <row r="1057" spans="1:15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2023</v>
      </c>
    </row>
    <row r="1058" spans="1:15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2024</v>
      </c>
    </row>
    <row r="1059" spans="1:15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2024</v>
      </c>
    </row>
    <row r="1060" spans="1:15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2023</v>
      </c>
    </row>
    <row r="1061" spans="1:15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2024</v>
      </c>
    </row>
    <row r="1062" spans="1:15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2024</v>
      </c>
    </row>
    <row r="1063" spans="1:15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2025</v>
      </c>
    </row>
    <row r="1064" spans="1:15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2023</v>
      </c>
    </row>
    <row r="1065" spans="1:15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2024</v>
      </c>
    </row>
    <row r="1066" spans="1:15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2025</v>
      </c>
    </row>
    <row r="1067" spans="1:15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2023</v>
      </c>
    </row>
    <row r="1068" spans="1:15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2023</v>
      </c>
    </row>
    <row r="1069" spans="1:15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2023</v>
      </c>
    </row>
    <row r="1070" spans="1:15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2024</v>
      </c>
    </row>
    <row r="1071" spans="1:15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2023</v>
      </c>
    </row>
    <row r="1072" spans="1:15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2024</v>
      </c>
    </row>
    <row r="1073" spans="1:15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2025</v>
      </c>
    </row>
    <row r="1074" spans="1:15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2023</v>
      </c>
    </row>
    <row r="1075" spans="1:15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2024</v>
      </c>
    </row>
    <row r="1076" spans="1:15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2024</v>
      </c>
    </row>
    <row r="1077" spans="1:15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2024</v>
      </c>
    </row>
    <row r="1078" spans="1:15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2023</v>
      </c>
    </row>
    <row r="1079" spans="1:15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2025</v>
      </c>
    </row>
    <row r="1080" spans="1:15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2023</v>
      </c>
    </row>
    <row r="1081" spans="1:15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2024</v>
      </c>
    </row>
    <row r="1082" spans="1:15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2023</v>
      </c>
    </row>
    <row r="1083" spans="1:15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2023</v>
      </c>
    </row>
    <row r="1084" spans="1:15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2023</v>
      </c>
    </row>
    <row r="1085" spans="1:15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2024</v>
      </c>
    </row>
    <row r="1086" spans="1:15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2023</v>
      </c>
    </row>
    <row r="1087" spans="1:15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2023</v>
      </c>
    </row>
    <row r="1088" spans="1:15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2023</v>
      </c>
    </row>
    <row r="1089" spans="1:15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2025</v>
      </c>
    </row>
    <row r="1090" spans="1:15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2023</v>
      </c>
    </row>
    <row r="1091" spans="1:15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7">YEAR(B1091)</f>
        <v>2025</v>
      </c>
    </row>
    <row r="1092" spans="1:15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2023</v>
      </c>
    </row>
    <row r="1093" spans="1:15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2024</v>
      </c>
    </row>
    <row r="1094" spans="1:15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2023</v>
      </c>
    </row>
    <row r="1095" spans="1:15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2023</v>
      </c>
    </row>
    <row r="1096" spans="1:15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2023</v>
      </c>
    </row>
    <row r="1097" spans="1:15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2024</v>
      </c>
    </row>
    <row r="1098" spans="1:15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2025</v>
      </c>
    </row>
    <row r="1099" spans="1:15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2024</v>
      </c>
    </row>
    <row r="1100" spans="1:15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2023</v>
      </c>
    </row>
    <row r="1101" spans="1:15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2024</v>
      </c>
    </row>
    <row r="1102" spans="1:15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2023</v>
      </c>
    </row>
    <row r="1103" spans="1:15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2025</v>
      </c>
    </row>
    <row r="1104" spans="1:15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2024</v>
      </c>
    </row>
    <row r="1105" spans="1:15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2023</v>
      </c>
    </row>
    <row r="1106" spans="1:15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2024</v>
      </c>
    </row>
    <row r="1107" spans="1:15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2024</v>
      </c>
    </row>
    <row r="1108" spans="1:15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2023</v>
      </c>
    </row>
    <row r="1109" spans="1:15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2025</v>
      </c>
    </row>
    <row r="1110" spans="1:15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2023</v>
      </c>
    </row>
    <row r="1111" spans="1:15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2024</v>
      </c>
    </row>
    <row r="1112" spans="1:15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2024</v>
      </c>
    </row>
    <row r="1113" spans="1:15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2023</v>
      </c>
    </row>
    <row r="1114" spans="1:15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2023</v>
      </c>
    </row>
    <row r="1115" spans="1:15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2023</v>
      </c>
    </row>
    <row r="1116" spans="1:15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2023</v>
      </c>
    </row>
    <row r="1117" spans="1:15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2025</v>
      </c>
    </row>
    <row r="1118" spans="1:15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2023</v>
      </c>
    </row>
    <row r="1119" spans="1:15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2024</v>
      </c>
    </row>
    <row r="1120" spans="1:15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2024</v>
      </c>
    </row>
    <row r="1121" spans="1:15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2024</v>
      </c>
    </row>
    <row r="1122" spans="1:15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2025</v>
      </c>
    </row>
    <row r="1123" spans="1:15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2023</v>
      </c>
    </row>
    <row r="1124" spans="1:15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2023</v>
      </c>
    </row>
    <row r="1125" spans="1:15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2023</v>
      </c>
    </row>
    <row r="1126" spans="1:15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2023</v>
      </c>
    </row>
    <row r="1127" spans="1:15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2023</v>
      </c>
    </row>
    <row r="1128" spans="1:15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2024</v>
      </c>
    </row>
    <row r="1129" spans="1:15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2025</v>
      </c>
    </row>
    <row r="1130" spans="1:15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2023</v>
      </c>
    </row>
    <row r="1131" spans="1:15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2023</v>
      </c>
    </row>
    <row r="1132" spans="1:15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2025</v>
      </c>
    </row>
    <row r="1133" spans="1:15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2024</v>
      </c>
    </row>
    <row r="1134" spans="1:15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2024</v>
      </c>
    </row>
    <row r="1135" spans="1:15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2024</v>
      </c>
    </row>
    <row r="1136" spans="1:15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2024</v>
      </c>
    </row>
    <row r="1137" spans="1:15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2023</v>
      </c>
    </row>
    <row r="1138" spans="1:15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2023</v>
      </c>
    </row>
    <row r="1139" spans="1:15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2024</v>
      </c>
    </row>
    <row r="1140" spans="1:15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2023</v>
      </c>
    </row>
    <row r="1141" spans="1:15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2025</v>
      </c>
    </row>
    <row r="1142" spans="1:15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2024</v>
      </c>
    </row>
    <row r="1143" spans="1:15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2025</v>
      </c>
    </row>
    <row r="1144" spans="1:15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2024</v>
      </c>
    </row>
    <row r="1145" spans="1:15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2023</v>
      </c>
    </row>
    <row r="1146" spans="1:15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2023</v>
      </c>
    </row>
    <row r="1147" spans="1:15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2025</v>
      </c>
    </row>
    <row r="1148" spans="1:15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2024</v>
      </c>
    </row>
    <row r="1149" spans="1:15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2025</v>
      </c>
    </row>
    <row r="1150" spans="1:15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2024</v>
      </c>
    </row>
    <row r="1151" spans="1:15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2024</v>
      </c>
    </row>
    <row r="1152" spans="1:15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2023</v>
      </c>
    </row>
    <row r="1153" spans="1:15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2023</v>
      </c>
    </row>
    <row r="1154" spans="1:15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7"/>
        <v>2023</v>
      </c>
    </row>
    <row r="1155" spans="1:15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8">YEAR(B1155)</f>
        <v>2024</v>
      </c>
    </row>
    <row r="1156" spans="1:15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2025</v>
      </c>
    </row>
    <row r="1157" spans="1:15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2023</v>
      </c>
    </row>
    <row r="1158" spans="1:15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2023</v>
      </c>
    </row>
    <row r="1159" spans="1:15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2024</v>
      </c>
    </row>
    <row r="1160" spans="1:15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2023</v>
      </c>
    </row>
    <row r="1161" spans="1:15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2024</v>
      </c>
    </row>
    <row r="1162" spans="1:15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2024</v>
      </c>
    </row>
    <row r="1163" spans="1:15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2023</v>
      </c>
    </row>
    <row r="1164" spans="1:15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2025</v>
      </c>
    </row>
    <row r="1165" spans="1:15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2024</v>
      </c>
    </row>
    <row r="1166" spans="1:15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2024</v>
      </c>
    </row>
    <row r="1167" spans="1:15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2023</v>
      </c>
    </row>
    <row r="1168" spans="1:15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2023</v>
      </c>
    </row>
    <row r="1169" spans="1:15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2023</v>
      </c>
    </row>
    <row r="1170" spans="1:15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2023</v>
      </c>
    </row>
    <row r="1171" spans="1:15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2024</v>
      </c>
    </row>
    <row r="1172" spans="1:15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2023</v>
      </c>
    </row>
    <row r="1173" spans="1:15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2023</v>
      </c>
    </row>
    <row r="1174" spans="1:15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2025</v>
      </c>
    </row>
    <row r="1175" spans="1:15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2024</v>
      </c>
    </row>
    <row r="1176" spans="1:15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2023</v>
      </c>
    </row>
    <row r="1177" spans="1:15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2024</v>
      </c>
    </row>
    <row r="1178" spans="1:15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2023</v>
      </c>
    </row>
    <row r="1179" spans="1:15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2023</v>
      </c>
    </row>
    <row r="1180" spans="1:15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2024</v>
      </c>
    </row>
    <row r="1181" spans="1:15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2023</v>
      </c>
    </row>
    <row r="1182" spans="1:15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2023</v>
      </c>
    </row>
    <row r="1183" spans="1:15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2023</v>
      </c>
    </row>
    <row r="1184" spans="1:15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2025</v>
      </c>
    </row>
    <row r="1185" spans="1:15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2023</v>
      </c>
    </row>
    <row r="1186" spans="1:15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2023</v>
      </c>
    </row>
    <row r="1187" spans="1:15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2024</v>
      </c>
    </row>
    <row r="1188" spans="1:15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2023</v>
      </c>
    </row>
    <row r="1189" spans="1:15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2024</v>
      </c>
    </row>
    <row r="1190" spans="1:15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2023</v>
      </c>
    </row>
    <row r="1191" spans="1:15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2024</v>
      </c>
    </row>
    <row r="1192" spans="1:15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2025</v>
      </c>
    </row>
    <row r="1193" spans="1:15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2025</v>
      </c>
    </row>
    <row r="1194" spans="1:15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2024</v>
      </c>
    </row>
    <row r="1195" spans="1:15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2025</v>
      </c>
    </row>
    <row r="1196" spans="1:15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2023</v>
      </c>
    </row>
    <row r="1197" spans="1:15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2024</v>
      </c>
    </row>
    <row r="1198" spans="1:15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2024</v>
      </c>
    </row>
    <row r="1199" spans="1:15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2023</v>
      </c>
    </row>
    <row r="1200" spans="1:15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2024</v>
      </c>
    </row>
    <row r="1201" spans="1:15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2023</v>
      </c>
    </row>
  </sheetData>
  <autoFilter ref="N1:N1201"/>
  <dataConsolidate/>
  <conditionalFormatting sqref="N1:N1048576">
    <cfRule type="top10" dxfId="5" priority="7" rank="10"/>
    <cfRule type="top10" dxfId="4" priority="5" rank="10"/>
    <cfRule type="top10" dxfId="3" priority="4" bottom="1" rank="10"/>
    <cfRule type="top10" dxfId="2" priority="1" bottom="1" rank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M8" sqref="M8"/>
    </sheetView>
  </sheetViews>
  <sheetFormatPr defaultRowHeight="14.4" x14ac:dyDescent="0.3"/>
  <cols>
    <col min="1" max="1" width="10.77734375" customWidth="1"/>
    <col min="2" max="2" width="25.5546875" customWidth="1"/>
  </cols>
  <sheetData>
    <row r="3" spans="1:2" x14ac:dyDescent="0.3">
      <c r="A3" s="5" t="s">
        <v>3</v>
      </c>
      <c r="B3" t="s">
        <v>4294</v>
      </c>
    </row>
    <row r="4" spans="1:2" x14ac:dyDescent="0.3">
      <c r="A4" s="3" t="s">
        <v>2407</v>
      </c>
      <c r="B4" s="7">
        <v>181</v>
      </c>
    </row>
    <row r="5" spans="1:2" x14ac:dyDescent="0.3">
      <c r="A5" s="3" t="s">
        <v>2405</v>
      </c>
      <c r="B5" s="7">
        <v>179</v>
      </c>
    </row>
    <row r="6" spans="1:2" x14ac:dyDescent="0.3">
      <c r="A6" s="3" t="s">
        <v>2406</v>
      </c>
      <c r="B6" s="7">
        <v>178</v>
      </c>
    </row>
    <row r="7" spans="1:2" x14ac:dyDescent="0.3">
      <c r="A7" s="3" t="s">
        <v>2408</v>
      </c>
      <c r="B7" s="7">
        <v>173</v>
      </c>
    </row>
    <row r="8" spans="1:2" x14ac:dyDescent="0.3">
      <c r="A8" s="3" t="s">
        <v>2409</v>
      </c>
      <c r="B8" s="7">
        <v>170</v>
      </c>
    </row>
    <row r="9" spans="1:2" x14ac:dyDescent="0.3">
      <c r="A9" s="3" t="s">
        <v>2403</v>
      </c>
      <c r="B9" s="7">
        <v>163</v>
      </c>
    </row>
    <row r="10" spans="1:2" x14ac:dyDescent="0.3">
      <c r="A10" s="3" t="s">
        <v>2404</v>
      </c>
      <c r="B10" s="7">
        <v>156</v>
      </c>
    </row>
    <row r="11" spans="1:2" x14ac:dyDescent="0.3">
      <c r="A11" s="3" t="s">
        <v>4293</v>
      </c>
      <c r="B11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5"/>
  <sheetViews>
    <sheetView workbookViewId="0">
      <selection activeCell="A3" sqref="A3"/>
    </sheetView>
  </sheetViews>
  <sheetFormatPr defaultRowHeight="14.4" x14ac:dyDescent="0.3"/>
  <cols>
    <col min="4" max="4" width="10.5546875" customWidth="1"/>
    <col min="5" max="5" width="11" customWidth="1"/>
    <col min="6" max="6" width="15.5546875" style="4" customWidth="1"/>
    <col min="7" max="7" width="9.33203125" style="4" customWidth="1"/>
    <col min="8" max="8" width="11.109375" customWidth="1"/>
    <col min="9" max="9" width="11.44140625" customWidth="1"/>
  </cols>
  <sheetData>
    <row r="1" spans="1:9" x14ac:dyDescent="0.3">
      <c r="E1" s="3" t="s">
        <v>4289</v>
      </c>
      <c r="F1" s="4" t="s">
        <v>4288</v>
      </c>
      <c r="G1" s="4" t="s">
        <v>4290</v>
      </c>
      <c r="H1" t="s">
        <v>4292</v>
      </c>
      <c r="I1" t="s">
        <v>4291</v>
      </c>
    </row>
    <row r="2" spans="1:9" x14ac:dyDescent="0.3">
      <c r="A2">
        <f>COUNT('MAIN DATASET'!N:N)</f>
        <v>1200</v>
      </c>
      <c r="B2" t="s">
        <v>4284</v>
      </c>
      <c r="E2" t="s">
        <v>4286</v>
      </c>
      <c r="F2" s="4">
        <f>AVERAGE('MAIN DATASET'!F:F)</f>
        <v>356.41275000000007</v>
      </c>
      <c r="G2" s="4">
        <f>MEDIAN('MAIN DATASET'!F:F)</f>
        <v>364.21</v>
      </c>
      <c r="H2">
        <f>MIN('MAIN DATASET'!F:F)</f>
        <v>11.39</v>
      </c>
      <c r="I2">
        <f>MAX('MAIN DATASET'!F:F)</f>
        <v>699.93</v>
      </c>
    </row>
    <row r="3" spans="1:9" x14ac:dyDescent="0.3">
      <c r="A3">
        <v>14</v>
      </c>
      <c r="B3" t="s">
        <v>4285</v>
      </c>
      <c r="E3" t="s">
        <v>4287</v>
      </c>
      <c r="F3" s="4">
        <f>AVERAGE('MAIN DATASET'!N:N)</f>
        <v>1053.9683000000005</v>
      </c>
      <c r="G3" s="4">
        <f>MEDIAN('MAIN DATASET'!N:N)</f>
        <v>823.61500000000001</v>
      </c>
      <c r="H3">
        <f>MIN('MAIN DATASET'!N:N)</f>
        <v>11.39</v>
      </c>
      <c r="I3">
        <f>MAX('MAIN DATASET'!N:N)</f>
        <v>3456.4</v>
      </c>
    </row>
    <row r="4" spans="1:9" x14ac:dyDescent="0.3">
      <c r="E4" t="s">
        <v>4</v>
      </c>
      <c r="F4" s="4">
        <f>AVERAGE('MAIN DATASET'!E:E)</f>
        <v>2.9458333333333333</v>
      </c>
      <c r="G4" s="4">
        <f>MEDIAN('MAIN DATASET'!E:E)</f>
        <v>3</v>
      </c>
      <c r="H4">
        <f>MIN('MAIN DATASET'!E:E)</f>
        <v>1</v>
      </c>
      <c r="I4">
        <f>MAX('MAIN DATASET'!E:E)</f>
        <v>5</v>
      </c>
    </row>
    <row r="8" spans="1:9" x14ac:dyDescent="0.3">
      <c r="E8" s="4"/>
      <c r="G8"/>
    </row>
    <row r="9" spans="1:9" x14ac:dyDescent="0.3">
      <c r="E9" s="4"/>
      <c r="G9"/>
    </row>
    <row r="10" spans="1:9" x14ac:dyDescent="0.3">
      <c r="E10" s="4"/>
      <c r="G10"/>
    </row>
    <row r="11" spans="1:9" x14ac:dyDescent="0.3">
      <c r="E11" s="4"/>
      <c r="G11"/>
    </row>
    <row r="12" spans="1:9" x14ac:dyDescent="0.3">
      <c r="E12" s="4"/>
      <c r="G12"/>
    </row>
    <row r="13" spans="1:9" x14ac:dyDescent="0.3">
      <c r="E13" s="4"/>
      <c r="G13"/>
    </row>
    <row r="14" spans="1:9" x14ac:dyDescent="0.3">
      <c r="E14" s="4"/>
      <c r="G14"/>
    </row>
    <row r="15" spans="1:9" x14ac:dyDescent="0.3">
      <c r="E15" s="4"/>
      <c r="G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PAYMENT METHOD</vt:lpstr>
      <vt:lpstr>ORDER STATUS</vt:lpstr>
      <vt:lpstr>COUPON CODE</vt:lpstr>
      <vt:lpstr>REFERRAL SOURCE</vt:lpstr>
      <vt:lpstr>TREND ANALYSIS</vt:lpstr>
      <vt:lpstr>MAIN DATASET</vt:lpstr>
      <vt:lpstr>PRODUCT DISTRIBUTION</vt:lpstr>
      <vt:lpstr>EDA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Nomcebo Khanyile</dc:creator>
  <cp:lastModifiedBy>Nomcebo Khanyile</cp:lastModifiedBy>
  <dcterms:created xsi:type="dcterms:W3CDTF">2025-06-21T13:19:12Z</dcterms:created>
  <dcterms:modified xsi:type="dcterms:W3CDTF">2026-06-20T02:01:48Z</dcterms:modified>
</cp:coreProperties>
</file>